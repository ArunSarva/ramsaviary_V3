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rds" sheetId="1" r:id="rId4"/>
    <sheet state="visible" name="Feeds &amp; Consumables." sheetId="2" r:id="rId5"/>
  </sheets>
  <externalReferences>
    <externalReference r:id="rId6"/>
  </externalReferences>
  <definedNames>
    <definedName name="Products">'[1]Excel Sales Template'!$G$5:$G$10</definedName>
  </definedNames>
  <calcPr/>
  <extLst>
    <ext uri="GoogleSheetsCustomDataVersion2">
      <go:sheetsCustomData xmlns:go="http://customooxmlschemas.google.com/" r:id="rId7" roundtripDataChecksum="GX5G8eWvlxrykd20IGRoRBMoawFapFNi4+JRKBOBSqQ="/>
    </ext>
  </extLst>
</workbook>
</file>

<file path=xl/sharedStrings.xml><?xml version="1.0" encoding="utf-8"?>
<sst xmlns="http://schemas.openxmlformats.org/spreadsheetml/2006/main" count="847" uniqueCount="214">
  <si>
    <t xml:space="preserve">BIRDS AVAIRY </t>
  </si>
  <si>
    <t>BIRDS MARKETING DETAILS - 2025</t>
  </si>
  <si>
    <t>BIRDS PRICE SUMMARY</t>
  </si>
  <si>
    <t>SOLD BIRDS AMOUNT</t>
  </si>
  <si>
    <t>Helicopter Budgies</t>
  </si>
  <si>
    <t>TOTAL AMOUNT</t>
  </si>
  <si>
    <t>TOTAL CASH</t>
  </si>
  <si>
    <t>SOLD BIRDS QUANTITY</t>
  </si>
  <si>
    <t>TOTAL CREDIT</t>
  </si>
  <si>
    <t>PAID</t>
  </si>
  <si>
    <t>NOT PAID</t>
  </si>
  <si>
    <t>TOTAL TRANSACTION</t>
  </si>
  <si>
    <t>SELL</t>
  </si>
  <si>
    <t>BUY</t>
  </si>
  <si>
    <t>PROFIT</t>
  </si>
  <si>
    <t>LOSS</t>
  </si>
  <si>
    <t>TRANSACTION</t>
  </si>
  <si>
    <t>Sl.No</t>
  </si>
  <si>
    <t>Date</t>
  </si>
  <si>
    <t>Birds</t>
  </si>
  <si>
    <t>Customer Name</t>
  </si>
  <si>
    <t>Location</t>
  </si>
  <si>
    <t>Status</t>
  </si>
  <si>
    <t>Payment Method</t>
  </si>
  <si>
    <t>Quantity</t>
  </si>
  <si>
    <t>Unit Price</t>
  </si>
  <si>
    <t>Amount</t>
  </si>
  <si>
    <t>Remarks</t>
  </si>
  <si>
    <t>African Birds</t>
  </si>
  <si>
    <t>Abhi Birds</t>
  </si>
  <si>
    <t>Mysore</t>
  </si>
  <si>
    <t>Paid</t>
  </si>
  <si>
    <t>On Credit</t>
  </si>
  <si>
    <t>Whiteface cocktail</t>
  </si>
  <si>
    <t>Sachin</t>
  </si>
  <si>
    <t>Bharath</t>
  </si>
  <si>
    <t>Lutino Cocktail</t>
  </si>
  <si>
    <t>Normal Budgies</t>
  </si>
  <si>
    <t>Harsha</t>
  </si>
  <si>
    <t>Single flower Lutino</t>
  </si>
  <si>
    <t>Steel Mesh</t>
  </si>
  <si>
    <t>Tejas</t>
  </si>
  <si>
    <t>Black wing</t>
  </si>
  <si>
    <t>Rainbow Budgies</t>
  </si>
  <si>
    <t>karthik RX</t>
  </si>
  <si>
    <t>Not Paid</t>
  </si>
  <si>
    <t>Ravi (jewales)</t>
  </si>
  <si>
    <t>Jumbo Finches</t>
  </si>
  <si>
    <t>Nazeer</t>
  </si>
  <si>
    <t>Bangalore</t>
  </si>
  <si>
    <t>1 Adult/8 semi Heli</t>
  </si>
  <si>
    <t>Tanique</t>
  </si>
  <si>
    <t>TS</t>
  </si>
  <si>
    <t>2 Crimino/4 Lutino</t>
  </si>
  <si>
    <t>Prajwal</t>
  </si>
  <si>
    <t>Mix birds lot Tejas aradya</t>
  </si>
  <si>
    <t>Zype pets</t>
  </si>
  <si>
    <t>Sudeep lutino frill back 6lot/4pc</t>
  </si>
  <si>
    <t>Suppliments</t>
  </si>
  <si>
    <t>Ramachari to Tejas</t>
  </si>
  <si>
    <t>Sinin</t>
  </si>
  <si>
    <t>kerala</t>
  </si>
  <si>
    <t>3 pair 7500+150</t>
  </si>
  <si>
    <t>Gowtham</t>
  </si>
  <si>
    <t>Chennai</t>
  </si>
  <si>
    <t>3 pair</t>
  </si>
  <si>
    <t>Fallow split helicopter for TN</t>
  </si>
  <si>
    <t>Raju</t>
  </si>
  <si>
    <t>On Cash</t>
  </si>
  <si>
    <t>Jambo finches pair</t>
  </si>
  <si>
    <t>Pradeep</t>
  </si>
  <si>
    <t>Albino</t>
  </si>
  <si>
    <t>Show Budgies</t>
  </si>
  <si>
    <t>Selva</t>
  </si>
  <si>
    <t>Follow budgies</t>
  </si>
  <si>
    <t>sreerag</t>
  </si>
  <si>
    <t>arun</t>
  </si>
  <si>
    <t>Lutino red eye</t>
  </si>
  <si>
    <t>TCB</t>
  </si>
  <si>
    <t>Biju</t>
  </si>
  <si>
    <t>2 fallow/2 normal</t>
  </si>
  <si>
    <t>subosh</t>
  </si>
  <si>
    <t>thimaia</t>
  </si>
  <si>
    <t>lutino red eyes</t>
  </si>
  <si>
    <t>Nagara</t>
  </si>
  <si>
    <t>pravin</t>
  </si>
  <si>
    <t>pune</t>
  </si>
  <si>
    <t>lutino helicaptor bugies</t>
  </si>
  <si>
    <t>female exchange</t>
  </si>
  <si>
    <t>sayeeda banu</t>
  </si>
  <si>
    <t>breeding pair</t>
  </si>
  <si>
    <t>Naveen kumar</t>
  </si>
  <si>
    <t>threerthesh</t>
  </si>
  <si>
    <t>Hassan</t>
  </si>
  <si>
    <t>lot budgies hassan</t>
  </si>
  <si>
    <t>Prabhakar</t>
  </si>
  <si>
    <t>chandru</t>
  </si>
  <si>
    <t>KR pete</t>
  </si>
  <si>
    <t>Arun</t>
  </si>
  <si>
    <t>Lot helicaptor</t>
  </si>
  <si>
    <t>Nandhish</t>
  </si>
  <si>
    <t xml:space="preserve">Lutino red eye helicopters </t>
  </si>
  <si>
    <t>Prabakar</t>
  </si>
  <si>
    <t>FEEDS &amp; CONSUMABLES DETAILS - 2025</t>
  </si>
  <si>
    <t>FEEDS PRICE SUMMARY</t>
  </si>
  <si>
    <t>AMOUNT</t>
  </si>
  <si>
    <t>Mix seeds</t>
  </si>
  <si>
    <t>QUANTITY</t>
  </si>
  <si>
    <t>Supplier Name</t>
  </si>
  <si>
    <t>Total</t>
  </si>
  <si>
    <t>UOM</t>
  </si>
  <si>
    <t>Sun Flower seeds</t>
  </si>
  <si>
    <t>Hemanth</t>
  </si>
  <si>
    <t>Kg</t>
  </si>
  <si>
    <t>Vimrol</t>
  </si>
  <si>
    <t>Water tank</t>
  </si>
  <si>
    <t>ml</t>
  </si>
  <si>
    <t>Seeds</t>
  </si>
  <si>
    <t>City</t>
  </si>
  <si>
    <t>Helicopter budgies</t>
  </si>
  <si>
    <t>Nos</t>
  </si>
  <si>
    <t>2 pairs/3 Blue-1Albino</t>
  </si>
  <si>
    <t>Steel Mess</t>
  </si>
  <si>
    <t>Mess-1800/Sheet-200</t>
  </si>
  <si>
    <t>Normal budgies</t>
  </si>
  <si>
    <t>Javeed</t>
  </si>
  <si>
    <t>Creamino budgie</t>
  </si>
  <si>
    <t>Auto Feeder</t>
  </si>
  <si>
    <t>Birds Supplies</t>
  </si>
  <si>
    <t>Feeder-10/Water-10</t>
  </si>
  <si>
    <t>Wood and suppliments</t>
  </si>
  <si>
    <t xml:space="preserve">LIC </t>
  </si>
  <si>
    <t>Wood patti for bottom support</t>
  </si>
  <si>
    <t>Breeding Box</t>
  </si>
  <si>
    <t>Abhi</t>
  </si>
  <si>
    <t>Finches</t>
  </si>
  <si>
    <t>Lokanath Rao</t>
  </si>
  <si>
    <t>2 lutino and 2 dark normal</t>
  </si>
  <si>
    <t>Single flower lutino</t>
  </si>
  <si>
    <t>Nandish</t>
  </si>
  <si>
    <t>Red eye crimino and Albino</t>
  </si>
  <si>
    <t>Shanthu</t>
  </si>
  <si>
    <t>Mandya</t>
  </si>
  <si>
    <t>Albino red eye</t>
  </si>
  <si>
    <t>New</t>
  </si>
  <si>
    <t xml:space="preserve">Gray and green spangle </t>
  </si>
  <si>
    <t>Grit for birds</t>
  </si>
  <si>
    <t>Lutino Female</t>
  </si>
  <si>
    <t>Bandipalya</t>
  </si>
  <si>
    <t>Navane</t>
  </si>
  <si>
    <t>Moin</t>
  </si>
  <si>
    <t>Pide helicopter</t>
  </si>
  <si>
    <t>Nesting</t>
  </si>
  <si>
    <t>Black Wings</t>
  </si>
  <si>
    <t>Santhu</t>
  </si>
  <si>
    <t>KGF</t>
  </si>
  <si>
    <t>Tejas ge</t>
  </si>
  <si>
    <t>santhu</t>
  </si>
  <si>
    <t>Helicapter lot</t>
  </si>
  <si>
    <t>sudeep</t>
  </si>
  <si>
    <t>Lutino</t>
  </si>
  <si>
    <t>Lutino lot</t>
  </si>
  <si>
    <t>Chandan</t>
  </si>
  <si>
    <t>Tray sheet</t>
  </si>
  <si>
    <t>setu</t>
  </si>
  <si>
    <t>Aradhya</t>
  </si>
  <si>
    <t>Lutino Heli from Narsipura</t>
  </si>
  <si>
    <t>Arvind</t>
  </si>
  <si>
    <t>Albino Helicopter</t>
  </si>
  <si>
    <t>Online</t>
  </si>
  <si>
    <t>Electric regulator fan for seed clean</t>
  </si>
  <si>
    <t>Ramachari</t>
  </si>
  <si>
    <t>To Aradya Narsipura</t>
  </si>
  <si>
    <t>SETU</t>
  </si>
  <si>
    <t>Godhi hesru kalu and kadlekalu</t>
  </si>
  <si>
    <t>Kalkata</t>
  </si>
  <si>
    <t>auto feeder egg tray food tray</t>
  </si>
  <si>
    <t>Tejas aradya to Prajwal</t>
  </si>
  <si>
    <t>2pcs 4inch 3feet</t>
  </si>
  <si>
    <t>Babu Rao</t>
  </si>
  <si>
    <t>Cobalt &amp; normal pair with 1 black wing</t>
  </si>
  <si>
    <t>sardhar</t>
  </si>
  <si>
    <t>Green black wing normal</t>
  </si>
  <si>
    <t>Drilling mcn Chuck and shank.</t>
  </si>
  <si>
    <t xml:space="preserve">Helicopter fallow </t>
  </si>
  <si>
    <t xml:space="preserve">Navane </t>
  </si>
  <si>
    <t xml:space="preserve">Cuttlebone </t>
  </si>
  <si>
    <t>Filter &amp; female rainbow normal</t>
  </si>
  <si>
    <t>Red eye Lutino</t>
  </si>
  <si>
    <t>Abhilash</t>
  </si>
  <si>
    <t>suresh</t>
  </si>
  <si>
    <t>prakash</t>
  </si>
  <si>
    <t>pide helicapter</t>
  </si>
  <si>
    <t>karthik</t>
  </si>
  <si>
    <t>chicks</t>
  </si>
  <si>
    <t>Cockatiel</t>
  </si>
  <si>
    <t>to sell to banglur</t>
  </si>
  <si>
    <t>Lutino Budgies</t>
  </si>
  <si>
    <t>to sell to pune</t>
  </si>
  <si>
    <t xml:space="preserve">helicapter and normal budgies </t>
  </si>
  <si>
    <t>rajesh</t>
  </si>
  <si>
    <t>to hassan</t>
  </si>
  <si>
    <t>to banglur venky</t>
  </si>
  <si>
    <t>shivu</t>
  </si>
  <si>
    <t>for tejas</t>
  </si>
  <si>
    <t>rancho</t>
  </si>
  <si>
    <t>ram kumar</t>
  </si>
  <si>
    <t>gopinath</t>
  </si>
  <si>
    <t>lot 10 pair with 2 males</t>
  </si>
  <si>
    <t xml:space="preserve">fallow budgies for banglur </t>
  </si>
  <si>
    <t>Calcium blocks</t>
  </si>
  <si>
    <t>prestige</t>
  </si>
  <si>
    <t>Sathish</t>
  </si>
  <si>
    <t xml:space="preserve">Res eyes lutino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</si>
</sst>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₹&quot;\ #,##0;&quot;₹&quot;\ \-#,##0"/>
    <numFmt numFmtId="165" formatCode="#,##0_ ;\-#,##0\ "/>
    <numFmt numFmtId="166" formatCode="[$-409]d\-mmm\-yyyy"/>
    <numFmt numFmtId="167" formatCode="_ &quot;₹&quot;\ * #,##0_ ;_ &quot;₹&quot;\ * \-#,##0_ ;_ &quot;₹&quot;\ * &quot;-&quot;_ ;_ @_ "/>
    <numFmt numFmtId="168" formatCode="_ &quot;₹&quot;\ * #,##0.00_ ;_ &quot;₹&quot;\ * \-#,##0.00_ ;_ &quot;₹&quot;\ * &quot;-&quot;??_ ;_ @_ "/>
  </numFmts>
  <fonts count="19">
    <font>
      <sz val="11.0"/>
      <color theme="1"/>
      <name val="Calibri"/>
      <scheme val="minor"/>
    </font>
    <font>
      <b/>
      <sz val="26.0"/>
      <color rgb="FF002060"/>
      <name val="Calibri"/>
    </font>
    <font/>
    <font>
      <color theme="1"/>
      <name val="Calibri"/>
      <scheme val="minor"/>
    </font>
    <font>
      <b/>
      <sz val="16.0"/>
      <color rgb="FF002060"/>
      <name val="Calibri"/>
    </font>
    <font>
      <b/>
      <sz val="14.0"/>
      <color rgb="FFF2F2F2"/>
      <name val="Calibri"/>
    </font>
    <font>
      <sz val="14.0"/>
      <color theme="1"/>
      <name val="Calibri"/>
    </font>
    <font>
      <b/>
      <sz val="14.0"/>
      <color theme="0"/>
      <name val="Calibri"/>
    </font>
    <font>
      <b/>
      <sz val="14.0"/>
      <color theme="1"/>
      <name val="Calibri"/>
    </font>
    <font>
      <b/>
      <sz val="16.0"/>
      <color theme="1"/>
      <name val="Calibri"/>
    </font>
    <font>
      <sz val="11.0"/>
      <color theme="1"/>
      <name val="Calibri"/>
    </font>
    <font>
      <sz val="11.0"/>
      <color rgb="FFFEF2CB"/>
      <name val="Calibri"/>
    </font>
    <font>
      <b/>
      <sz val="15.0"/>
      <color rgb="FF1F3864"/>
      <name val="Calibri"/>
    </font>
    <font>
      <b/>
      <sz val="14.0"/>
      <color rgb="FF1F3864"/>
      <name val="Calibri"/>
    </font>
    <font>
      <b/>
      <sz val="20.0"/>
      <color rgb="FF109426"/>
      <name val="Calibri"/>
    </font>
    <font>
      <b/>
      <sz val="20.0"/>
      <color theme="1"/>
      <name val="Calibri"/>
    </font>
    <font>
      <b/>
      <sz val="20.0"/>
      <color rgb="FFFF0000"/>
      <name val="Calibri"/>
    </font>
    <font>
      <b/>
      <sz val="12.0"/>
      <color theme="1"/>
      <name val="Calibri"/>
    </font>
    <font>
      <b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DEEAF6"/>
        <bgColor rgb="FFDEEAF6"/>
      </patternFill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4" fontId="4" numFmtId="0" xfId="0" applyAlignment="1" applyBorder="1" applyFill="1" applyFont="1">
      <alignment horizontal="center" vertical="center"/>
    </xf>
    <xf borderId="1" fillId="5" fontId="5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5" fillId="5" fontId="7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2" fontId="8" numFmtId="0" xfId="0" applyAlignment="1" applyBorder="1" applyFont="1">
      <alignment horizontal="center" readingOrder="0" vertical="center"/>
    </xf>
    <xf borderId="8" fillId="3" fontId="3" numFmtId="0" xfId="0" applyBorder="1" applyFont="1"/>
    <xf borderId="1" fillId="5" fontId="7" numFmtId="0" xfId="0" applyAlignment="1" applyBorder="1" applyFont="1">
      <alignment horizontal="center" vertical="center"/>
    </xf>
    <xf borderId="1" fillId="7" fontId="9" numFmtId="164" xfId="0" applyAlignment="1" applyBorder="1" applyFill="1" applyFont="1" applyNumberForma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6" fontId="10" numFmtId="0" xfId="0" applyAlignment="1" applyBorder="1" applyFont="1">
      <alignment horizontal="center"/>
    </xf>
    <xf borderId="14" fillId="0" fontId="2" numFmtId="0" xfId="0" applyBorder="1" applyFont="1"/>
    <xf borderId="15" fillId="0" fontId="2" numFmtId="0" xfId="0" applyBorder="1" applyFont="1"/>
    <xf borderId="1" fillId="8" fontId="8" numFmtId="0" xfId="0" applyAlignment="1" applyBorder="1" applyFill="1" applyFont="1">
      <alignment horizontal="center" vertical="center"/>
    </xf>
    <xf borderId="1" fillId="7" fontId="9" numFmtId="165" xfId="0" applyAlignment="1" applyBorder="1" applyFont="1" applyNumberFormat="1">
      <alignment horizontal="center" vertical="center"/>
    </xf>
    <xf borderId="13" fillId="6" fontId="10" numFmtId="0" xfId="0" applyAlignment="1" applyBorder="1" applyFont="1">
      <alignment horizontal="center" readingOrder="0"/>
    </xf>
    <xf borderId="16" fillId="6" fontId="7" numFmtId="0" xfId="0" applyAlignment="1" applyBorder="1" applyFont="1">
      <alignment horizontal="center" vertical="center"/>
    </xf>
    <xf borderId="17" fillId="6" fontId="11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1" fillId="9" fontId="12" numFmtId="0" xfId="0" applyAlignment="1" applyBorder="1" applyFill="1" applyFont="1">
      <alignment horizontal="center" vertical="center"/>
    </xf>
    <xf borderId="16" fillId="10" fontId="13" numFmtId="0" xfId="0" applyAlignment="1" applyBorder="1" applyFill="1" applyFont="1">
      <alignment horizontal="center" vertical="center"/>
    </xf>
    <xf borderId="1" fillId="11" fontId="9" numFmtId="164" xfId="0" applyAlignment="1" applyBorder="1" applyFill="1" applyFont="1" applyNumberFormat="1">
      <alignment horizontal="center" vertical="center"/>
    </xf>
    <xf borderId="16" fillId="10" fontId="13" numFmtId="164" xfId="0" applyAlignment="1" applyBorder="1" applyFont="1" applyNumberFormat="1">
      <alignment horizontal="center" vertical="center"/>
    </xf>
    <xf borderId="1" fillId="10" fontId="14" numFmtId="0" xfId="0" applyAlignment="1" applyBorder="1" applyFont="1">
      <alignment horizontal="center" vertical="center"/>
    </xf>
    <xf borderId="1" fillId="7" fontId="15" numFmtId="164" xfId="0" applyAlignment="1" applyBorder="1" applyFont="1" applyNumberFormat="1">
      <alignment horizontal="center" vertical="center"/>
    </xf>
    <xf borderId="1" fillId="10" fontId="16" numFmtId="0" xfId="0" applyAlignment="1" applyBorder="1" applyFont="1">
      <alignment horizontal="center" vertical="center"/>
    </xf>
    <xf borderId="16" fillId="12" fontId="3" numFmtId="0" xfId="0" applyBorder="1" applyFill="1" applyFont="1"/>
    <xf borderId="17" fillId="13" fontId="4" numFmtId="0" xfId="0" applyAlignment="1" applyBorder="1" applyFill="1" applyFont="1">
      <alignment horizontal="center" vertical="center"/>
    </xf>
    <xf borderId="16" fillId="13" fontId="3" numFmtId="0" xfId="0" applyBorder="1" applyFont="1"/>
    <xf borderId="20" fillId="8" fontId="17" numFmtId="0" xfId="0" applyAlignment="1" applyBorder="1" applyFont="1">
      <alignment horizontal="center" vertical="center"/>
    </xf>
    <xf borderId="20" fillId="8" fontId="17" numFmtId="0" xfId="0" applyAlignment="1" applyBorder="1" applyFont="1">
      <alignment horizontal="center" shrinkToFit="0" vertical="center" wrapText="1"/>
    </xf>
    <xf borderId="21" fillId="8" fontId="17" numFmtId="0" xfId="0" applyAlignment="1" applyBorder="1" applyFont="1">
      <alignment horizontal="center" readingOrder="0" vertical="center"/>
    </xf>
    <xf borderId="22" fillId="0" fontId="2" numFmtId="0" xfId="0" applyBorder="1" applyFont="1"/>
    <xf borderId="23" fillId="8" fontId="17" numFmtId="0" xfId="0" applyAlignment="1" applyBorder="1" applyFont="1">
      <alignment horizontal="center" vertical="center"/>
    </xf>
    <xf borderId="16" fillId="8" fontId="17" numFmtId="0" xfId="0" applyAlignment="1" applyBorder="1" applyFont="1">
      <alignment horizontal="center" vertical="center"/>
    </xf>
    <xf borderId="16" fillId="8" fontId="17" numFmtId="0" xfId="0" applyAlignment="1" applyBorder="1" applyFont="1">
      <alignment horizontal="center" readingOrder="0" vertical="center"/>
    </xf>
    <xf borderId="16" fillId="7" fontId="10" numFmtId="1" xfId="0" applyAlignment="1" applyBorder="1" applyFont="1" applyNumberFormat="1">
      <alignment horizontal="center" vertical="center"/>
    </xf>
    <xf borderId="16" fillId="7" fontId="10" numFmtId="166" xfId="0" applyAlignment="1" applyBorder="1" applyFont="1" applyNumberFormat="1">
      <alignment horizontal="center" vertical="center"/>
    </xf>
    <xf borderId="16" fillId="7" fontId="10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16" fillId="7" fontId="10" numFmtId="0" xfId="0" applyAlignment="1" applyBorder="1" applyFont="1">
      <alignment horizontal="center" readingOrder="0" vertical="center"/>
    </xf>
    <xf borderId="16" fillId="7" fontId="18" numFmtId="0" xfId="0" applyAlignment="1" applyBorder="1" applyFont="1">
      <alignment horizontal="center" vertical="center"/>
    </xf>
    <xf borderId="16" fillId="7" fontId="10" numFmtId="167" xfId="0" applyAlignment="1" applyBorder="1" applyFont="1" applyNumberFormat="1">
      <alignment horizontal="center" vertical="center"/>
    </xf>
    <xf borderId="16" fillId="12" fontId="3" numFmtId="0" xfId="0" applyAlignment="1" applyBorder="1" applyFont="1">
      <alignment readingOrder="0"/>
    </xf>
    <xf borderId="16" fillId="7" fontId="10" numFmtId="1" xfId="0" applyAlignment="1" applyBorder="1" applyFont="1" applyNumberFormat="1">
      <alignment horizontal="center" readingOrder="0" vertical="center"/>
    </xf>
    <xf borderId="16" fillId="7" fontId="10" numFmtId="166" xfId="0" applyAlignment="1" applyBorder="1" applyFont="1" applyNumberFormat="1">
      <alignment horizontal="center" readingOrder="0" vertical="center"/>
    </xf>
    <xf borderId="16" fillId="7" fontId="18" numFmtId="0" xfId="0" applyAlignment="1" applyBorder="1" applyFont="1">
      <alignment horizontal="center" readingOrder="0" vertical="center"/>
    </xf>
    <xf borderId="16" fillId="7" fontId="10" numFmtId="167" xfId="0" applyAlignment="1" applyBorder="1" applyFont="1" applyNumberFormat="1">
      <alignment horizontal="center" readingOrder="0" vertical="center"/>
    </xf>
    <xf borderId="1" fillId="7" fontId="10" numFmtId="0" xfId="0" applyAlignment="1" applyBorder="1" applyFont="1">
      <alignment horizontal="center" readingOrder="0" vertical="center"/>
    </xf>
    <xf borderId="16" fillId="12" fontId="10" numFmtId="0" xfId="0" applyAlignment="1" applyBorder="1" applyFont="1">
      <alignment vertical="bottom"/>
    </xf>
    <xf borderId="16" fillId="12" fontId="10" numFmtId="0" xfId="0" applyAlignment="1" applyBorder="1" applyFont="1">
      <alignment readingOrder="0" vertical="bottom"/>
    </xf>
    <xf borderId="24" fillId="0" fontId="2" numFmtId="0" xfId="0" applyBorder="1" applyFont="1"/>
    <xf borderId="25" fillId="7" fontId="8" numFmtId="164" xfId="0" applyAlignment="1" applyBorder="1" applyFont="1" applyNumberFormat="1">
      <alignment vertical="center"/>
    </xf>
    <xf borderId="26" fillId="7" fontId="8" numFmtId="164" xfId="0" applyAlignment="1" applyBorder="1" applyFont="1" applyNumberFormat="1">
      <alignment vertical="center"/>
    </xf>
    <xf borderId="1" fillId="7" fontId="8" numFmtId="164" xfId="0" applyAlignment="1" applyBorder="1" applyFont="1" applyNumberFormat="1">
      <alignment horizontal="center" vertical="center"/>
    </xf>
    <xf borderId="1" fillId="7" fontId="8" numFmtId="165" xfId="0" applyAlignment="1" applyBorder="1" applyFont="1" applyNumberFormat="1">
      <alignment horizontal="center" vertical="center"/>
    </xf>
    <xf borderId="17" fillId="6" fontId="10" numFmtId="0" xfId="0" applyAlignment="1" applyBorder="1" applyFont="1">
      <alignment horizontal="center"/>
    </xf>
    <xf borderId="9" fillId="3" fontId="3" numFmtId="0" xfId="0" applyBorder="1" applyFont="1"/>
    <xf borderId="4" fillId="8" fontId="17" numFmtId="0" xfId="0" applyAlignment="1" applyBorder="1" applyFont="1">
      <alignment horizontal="center" vertical="center"/>
    </xf>
    <xf borderId="5" fillId="8" fontId="17" numFmtId="0" xfId="0" applyAlignment="1" applyBorder="1" applyFont="1">
      <alignment horizontal="center" vertical="center"/>
    </xf>
    <xf borderId="4" fillId="8" fontId="17" numFmtId="0" xfId="0" applyAlignment="1" applyBorder="1" applyFont="1">
      <alignment horizontal="center" shrinkToFit="0" vertical="center" wrapText="1"/>
    </xf>
    <xf borderId="1" fillId="8" fontId="17" numFmtId="0" xfId="0" applyAlignment="1" applyBorder="1" applyFont="1">
      <alignment horizontal="center" vertical="center"/>
    </xf>
    <xf borderId="4" fillId="8" fontId="17" numFmtId="0" xfId="0" applyAlignment="1" applyBorder="1" applyFont="1">
      <alignment horizontal="center" readingOrder="0" vertical="center"/>
    </xf>
    <xf borderId="16" fillId="7" fontId="10" numFmtId="168" xfId="0" applyAlignment="1" applyBorder="1" applyFont="1" applyNumberFormat="1">
      <alignment horizontal="center" vertical="center"/>
    </xf>
    <xf borderId="16" fillId="7" fontId="10" numFmtId="168" xfId="0" applyAlignment="1" applyBorder="1" applyFont="1" applyNumberFormat="1">
      <alignment horizontal="center" readingOrder="0" vertical="center"/>
    </xf>
    <xf borderId="16" fillId="7" fontId="10" numFmtId="166" xfId="0" applyAlignment="1" applyBorder="1" applyFont="1" applyNumberFormat="1">
      <alignment horizontal="center"/>
    </xf>
    <xf borderId="16" fillId="7" fontId="10" numFmtId="0" xfId="0" applyAlignment="1" applyBorder="1" applyFont="1">
      <alignment horizontal="center"/>
    </xf>
    <xf borderId="1" fillId="7" fontId="10" numFmtId="0" xfId="0" applyAlignment="1" applyBorder="1" applyFont="1">
      <alignment horizontal="center" readingOrder="0"/>
    </xf>
    <xf borderId="16" fillId="7" fontId="10" numFmtId="0" xfId="0" applyAlignment="1" applyBorder="1" applyFont="1">
      <alignment horizontal="center" readingOrder="0"/>
    </xf>
    <xf borderId="16" fillId="7" fontId="18" numFmtId="0" xfId="0" applyAlignment="1" applyBorder="1" applyFont="1">
      <alignment horizontal="center" readingOrder="0"/>
    </xf>
    <xf borderId="16" fillId="7" fontId="18" numFmtId="0" xfId="0" applyAlignment="1" applyBorder="1" applyFont="1">
      <alignment horizontal="center"/>
    </xf>
    <xf borderId="16" fillId="7" fontId="10" numFmtId="168" xfId="0" applyAlignment="1" applyBorder="1" applyFont="1" applyNumberFormat="1">
      <alignment horizontal="center" readingOrder="0"/>
    </xf>
    <xf borderId="16" fillId="7" fontId="10" numFmtId="167" xfId="0" applyAlignment="1" applyBorder="1" applyFont="1" applyNumberFormat="1">
      <alignment horizontal="center"/>
    </xf>
    <xf borderId="0" fillId="0" fontId="10" numFmtId="0" xfId="0" applyAlignment="1" applyFont="1">
      <alignment vertical="bottom"/>
    </xf>
    <xf borderId="16" fillId="7" fontId="10" numFmtId="1" xfId="0" applyAlignment="1" applyBorder="1" applyFont="1" applyNumberFormat="1">
      <alignment horizontal="center" readingOrder="0"/>
    </xf>
    <xf borderId="0" fillId="12" fontId="3" numFmtId="0" xfId="0" applyAlignment="1" applyFont="1">
      <alignment horizontal="center" readingOrder="0"/>
    </xf>
    <xf borderId="1" fillId="7" fontId="10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Abhishek\PROJECTS\HONEYWELL\BES\Excel-Sales-Template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cel Sales Template - Blank"/>
      <sheetName val="Excel Sales Template"/>
      <sheetName val="Sales Performance Template"/>
      <sheetName val="Excel Sales Plan Templat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8.86"/>
    <col customWidth="1" min="3" max="3" width="20.0"/>
    <col customWidth="1" min="4" max="4" width="13.0"/>
    <col customWidth="1" min="5" max="5" width="6.43"/>
    <col customWidth="1" min="6" max="6" width="12.0"/>
    <col customWidth="1" min="7" max="7" width="11.29"/>
    <col customWidth="1" min="8" max="8" width="16.71"/>
    <col customWidth="1" min="9" max="9" width="8.71"/>
    <col customWidth="1" min="10" max="11" width="13.29"/>
    <col customWidth="1" min="12" max="12" width="30.43"/>
    <col customWidth="1" min="13" max="27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</row>
    <row r="2" ht="24.75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</row>
    <row r="3" ht="14.25" customHeight="1">
      <c r="A3" s="6" t="s">
        <v>2</v>
      </c>
      <c r="B3" s="2"/>
      <c r="C3" s="2"/>
      <c r="D3" s="3"/>
      <c r="E3" s="7"/>
      <c r="F3" s="8" t="s">
        <v>3</v>
      </c>
      <c r="G3" s="9"/>
      <c r="H3" s="10"/>
      <c r="I3" s="11" t="s">
        <v>4</v>
      </c>
      <c r="J3" s="2"/>
      <c r="K3" s="3"/>
      <c r="L3" s="12"/>
    </row>
    <row r="4" ht="14.25" customHeight="1">
      <c r="A4" s="13" t="s">
        <v>5</v>
      </c>
      <c r="B4" s="3"/>
      <c r="C4" s="14">
        <f>SUM(C7+C6)</f>
        <v>304011</v>
      </c>
      <c r="D4" s="3"/>
      <c r="E4" s="15"/>
      <c r="F4" s="16"/>
      <c r="G4" s="17"/>
      <c r="H4" s="18"/>
      <c r="I4" s="14">
        <f>SUMIF(C16:C42,I3,K16:K42)</f>
        <v>83049</v>
      </c>
      <c r="J4" s="2"/>
      <c r="K4" s="3"/>
      <c r="L4" s="12"/>
    </row>
    <row r="5" ht="14.25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1"/>
      <c r="L5" s="12"/>
    </row>
    <row r="6" ht="14.25" customHeight="1">
      <c r="A6" s="13" t="s">
        <v>6</v>
      </c>
      <c r="B6" s="3"/>
      <c r="C6" s="14">
        <f>SUMIF(H16:H200, "On Cash",K16:K200)</f>
        <v>600</v>
      </c>
      <c r="D6" s="3"/>
      <c r="E6" s="7"/>
      <c r="F6" s="8" t="s">
        <v>7</v>
      </c>
      <c r="G6" s="9"/>
      <c r="H6" s="10"/>
      <c r="I6" s="22" t="str">
        <f>I3</f>
        <v>Helicopter Budgies</v>
      </c>
      <c r="J6" s="2"/>
      <c r="K6" s="3"/>
      <c r="L6" s="12"/>
    </row>
    <row r="7" ht="14.25" customHeight="1">
      <c r="A7" s="13" t="s">
        <v>8</v>
      </c>
      <c r="B7" s="3"/>
      <c r="C7" s="14">
        <f>SUMIF(H16:H200, "On Credit",K16:K200)</f>
        <v>303411</v>
      </c>
      <c r="D7" s="3"/>
      <c r="E7" s="15"/>
      <c r="F7" s="16"/>
      <c r="G7" s="17"/>
      <c r="H7" s="18"/>
      <c r="I7" s="23">
        <f>SUMIF(C16:C45,I6,I16:I45)</f>
        <v>74</v>
      </c>
      <c r="J7" s="2"/>
      <c r="K7" s="3"/>
      <c r="L7" s="12"/>
    </row>
    <row r="8" ht="18.0" customHeight="1">
      <c r="A8" s="24"/>
      <c r="B8" s="20"/>
      <c r="C8" s="20"/>
      <c r="D8" s="20"/>
      <c r="E8" s="20"/>
      <c r="F8" s="20"/>
      <c r="G8" s="20"/>
      <c r="H8" s="20"/>
      <c r="I8" s="20"/>
      <c r="J8" s="20"/>
      <c r="K8" s="21"/>
      <c r="L8" s="12"/>
    </row>
    <row r="9" ht="30.75" customHeight="1">
      <c r="A9" s="13" t="s">
        <v>9</v>
      </c>
      <c r="B9" s="3"/>
      <c r="C9" s="14">
        <f>SUMIF(G16:G200, "Paid",K16:K200)</f>
        <v>302011</v>
      </c>
      <c r="D9" s="3"/>
      <c r="E9" s="25"/>
      <c r="F9" s="13" t="s">
        <v>10</v>
      </c>
      <c r="G9" s="2"/>
      <c r="H9" s="3"/>
      <c r="I9" s="14">
        <f>SUMIF(G16:G200, "Not paid",K16:K200)</f>
        <v>2000</v>
      </c>
      <c r="J9" s="2"/>
      <c r="K9" s="3"/>
      <c r="L9" s="12"/>
    </row>
    <row r="10" ht="14.25" customHeight="1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8"/>
      <c r="L10" s="12"/>
    </row>
    <row r="11" ht="30.75" customHeight="1">
      <c r="A11" s="29" t="s">
        <v>11</v>
      </c>
      <c r="B11" s="3"/>
      <c r="C11" s="14">
        <f>C4+'Feeds &amp; Consumables.'!C4</f>
        <v>552807</v>
      </c>
      <c r="D11" s="3"/>
      <c r="E11" s="25"/>
      <c r="F11" s="30" t="s">
        <v>12</v>
      </c>
      <c r="G11" s="31">
        <f>C4</f>
        <v>304011</v>
      </c>
      <c r="H11" s="3"/>
      <c r="I11" s="32" t="s">
        <v>13</v>
      </c>
      <c r="J11" s="14">
        <f>'Feeds &amp; Consumables.'!C4</f>
        <v>248796</v>
      </c>
      <c r="K11" s="3"/>
      <c r="L11" s="12"/>
    </row>
    <row r="12" ht="12.0" customHeight="1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1"/>
      <c r="L12" s="12"/>
    </row>
    <row r="13" ht="30.75" customHeight="1">
      <c r="A13" s="33" t="s">
        <v>14</v>
      </c>
      <c r="B13" s="3"/>
      <c r="C13" s="34">
        <f>G11-J11</f>
        <v>55215</v>
      </c>
      <c r="D13" s="3"/>
      <c r="E13" s="25"/>
      <c r="F13" s="35" t="s">
        <v>15</v>
      </c>
      <c r="G13" s="2"/>
      <c r="H13" s="3"/>
      <c r="I13" s="34">
        <f>MAX(0,J11-G11)</f>
        <v>0</v>
      </c>
      <c r="J13" s="2"/>
      <c r="K13" s="3"/>
      <c r="L13" s="36"/>
    </row>
    <row r="14" ht="25.5" customHeight="1">
      <c r="A14" s="37" t="s">
        <v>16</v>
      </c>
      <c r="B14" s="27"/>
      <c r="C14" s="27"/>
      <c r="D14" s="27"/>
      <c r="E14" s="27"/>
      <c r="F14" s="27"/>
      <c r="G14" s="27"/>
      <c r="H14" s="27"/>
      <c r="I14" s="27"/>
      <c r="J14" s="27"/>
      <c r="K14" s="28"/>
      <c r="L14" s="38"/>
    </row>
    <row r="15" ht="23.25" customHeight="1">
      <c r="A15" s="39" t="s">
        <v>17</v>
      </c>
      <c r="B15" s="39" t="s">
        <v>18</v>
      </c>
      <c r="C15" s="40" t="s">
        <v>19</v>
      </c>
      <c r="D15" s="41" t="s">
        <v>20</v>
      </c>
      <c r="E15" s="42"/>
      <c r="F15" s="40" t="s">
        <v>21</v>
      </c>
      <c r="G15" s="39" t="s">
        <v>22</v>
      </c>
      <c r="H15" s="39" t="s">
        <v>23</v>
      </c>
      <c r="I15" s="43" t="s">
        <v>24</v>
      </c>
      <c r="J15" s="44" t="s">
        <v>25</v>
      </c>
      <c r="K15" s="44" t="s">
        <v>26</v>
      </c>
      <c r="L15" s="45" t="s">
        <v>27</v>
      </c>
    </row>
    <row r="16" ht="14.25" customHeight="1">
      <c r="A16" s="46">
        <v>1.0</v>
      </c>
      <c r="B16" s="47">
        <v>45802.0</v>
      </c>
      <c r="C16" s="48" t="s">
        <v>28</v>
      </c>
      <c r="D16" s="49" t="s">
        <v>29</v>
      </c>
      <c r="E16" s="3"/>
      <c r="F16" s="48" t="s">
        <v>30</v>
      </c>
      <c r="G16" s="50" t="s">
        <v>31</v>
      </c>
      <c r="H16" s="48" t="s">
        <v>32</v>
      </c>
      <c r="I16" s="51">
        <v>3.0</v>
      </c>
      <c r="J16" s="52">
        <v>500.0</v>
      </c>
      <c r="K16" s="52">
        <f t="shared" ref="K16:K101" si="1">I16*J16</f>
        <v>1500</v>
      </c>
      <c r="L16" s="36"/>
    </row>
    <row r="17" ht="14.25" customHeight="1">
      <c r="A17" s="46">
        <v>2.0</v>
      </c>
      <c r="B17" s="47">
        <v>45803.0</v>
      </c>
      <c r="C17" s="48" t="s">
        <v>33</v>
      </c>
      <c r="D17" s="49" t="s">
        <v>34</v>
      </c>
      <c r="E17" s="3"/>
      <c r="F17" s="48" t="s">
        <v>30</v>
      </c>
      <c r="G17" s="48" t="s">
        <v>31</v>
      </c>
      <c r="H17" s="48" t="s">
        <v>32</v>
      </c>
      <c r="I17" s="51">
        <v>3.0</v>
      </c>
      <c r="J17" s="52">
        <v>600.0</v>
      </c>
      <c r="K17" s="52">
        <f t="shared" si="1"/>
        <v>1800</v>
      </c>
      <c r="L17" s="53"/>
    </row>
    <row r="18" ht="14.25" customHeight="1">
      <c r="A18" s="46">
        <v>3.0</v>
      </c>
      <c r="B18" s="47">
        <v>45807.0</v>
      </c>
      <c r="C18" s="48" t="s">
        <v>4</v>
      </c>
      <c r="D18" s="49" t="s">
        <v>35</v>
      </c>
      <c r="E18" s="3"/>
      <c r="F18" s="48" t="s">
        <v>30</v>
      </c>
      <c r="G18" s="48" t="s">
        <v>31</v>
      </c>
      <c r="H18" s="48" t="s">
        <v>32</v>
      </c>
      <c r="I18" s="51">
        <v>2.0</v>
      </c>
      <c r="J18" s="52">
        <v>450.0</v>
      </c>
      <c r="K18" s="52">
        <f t="shared" si="1"/>
        <v>900</v>
      </c>
      <c r="L18" s="53"/>
    </row>
    <row r="19" ht="14.25" customHeight="1">
      <c r="A19" s="54">
        <v>4.0</v>
      </c>
      <c r="B19" s="55">
        <v>45814.0</v>
      </c>
      <c r="C19" s="50" t="s">
        <v>4</v>
      </c>
      <c r="D19" s="49" t="s">
        <v>35</v>
      </c>
      <c r="E19" s="3"/>
      <c r="F19" s="50" t="s">
        <v>30</v>
      </c>
      <c r="G19" s="50" t="s">
        <v>31</v>
      </c>
      <c r="H19" s="50" t="s">
        <v>32</v>
      </c>
      <c r="I19" s="56">
        <v>1.0</v>
      </c>
      <c r="J19" s="57">
        <v>600.0</v>
      </c>
      <c r="K19" s="52">
        <f t="shared" si="1"/>
        <v>600</v>
      </c>
      <c r="L19" s="53"/>
    </row>
    <row r="20" ht="14.25" customHeight="1">
      <c r="A20" s="54">
        <v>5.0</v>
      </c>
      <c r="B20" s="55">
        <v>45822.0</v>
      </c>
      <c r="C20" s="50" t="s">
        <v>36</v>
      </c>
      <c r="D20" s="58" t="s">
        <v>29</v>
      </c>
      <c r="E20" s="3"/>
      <c r="F20" s="50" t="s">
        <v>30</v>
      </c>
      <c r="G20" s="50" t="s">
        <v>31</v>
      </c>
      <c r="H20" s="50" t="s">
        <v>32</v>
      </c>
      <c r="I20" s="56">
        <v>5.0</v>
      </c>
      <c r="J20" s="57">
        <v>600.0</v>
      </c>
      <c r="K20" s="52">
        <f t="shared" si="1"/>
        <v>3000</v>
      </c>
      <c r="L20" s="53"/>
    </row>
    <row r="21" ht="14.25" customHeight="1">
      <c r="A21" s="54">
        <v>6.0</v>
      </c>
      <c r="B21" s="55">
        <v>45837.0</v>
      </c>
      <c r="C21" s="50" t="s">
        <v>37</v>
      </c>
      <c r="D21" s="58" t="s">
        <v>29</v>
      </c>
      <c r="E21" s="3"/>
      <c r="F21" s="50" t="s">
        <v>30</v>
      </c>
      <c r="G21" s="50" t="s">
        <v>31</v>
      </c>
      <c r="H21" s="50" t="s">
        <v>32</v>
      </c>
      <c r="I21" s="56">
        <v>8.0</v>
      </c>
      <c r="J21" s="57">
        <v>110.0</v>
      </c>
      <c r="K21" s="52">
        <f t="shared" si="1"/>
        <v>880</v>
      </c>
      <c r="L21" s="53"/>
    </row>
    <row r="22" ht="14.25" customHeight="1">
      <c r="A22" s="54">
        <v>7.0</v>
      </c>
      <c r="B22" s="55">
        <v>45844.0</v>
      </c>
      <c r="C22" s="50" t="s">
        <v>4</v>
      </c>
      <c r="D22" s="58" t="s">
        <v>38</v>
      </c>
      <c r="E22" s="3"/>
      <c r="F22" s="50" t="s">
        <v>30</v>
      </c>
      <c r="G22" s="50" t="s">
        <v>31</v>
      </c>
      <c r="H22" s="50" t="s">
        <v>32</v>
      </c>
      <c r="I22" s="56">
        <v>1.0</v>
      </c>
      <c r="J22" s="57">
        <v>2000.0</v>
      </c>
      <c r="K22" s="52">
        <f t="shared" si="1"/>
        <v>2000</v>
      </c>
      <c r="L22" s="53" t="s">
        <v>39</v>
      </c>
    </row>
    <row r="23" ht="14.25" customHeight="1">
      <c r="A23" s="54">
        <v>8.0</v>
      </c>
      <c r="B23" s="55">
        <v>45844.0</v>
      </c>
      <c r="C23" s="50" t="s">
        <v>4</v>
      </c>
      <c r="D23" s="58" t="s">
        <v>40</v>
      </c>
      <c r="E23" s="3"/>
      <c r="F23" s="50" t="s">
        <v>30</v>
      </c>
      <c r="G23" s="50" t="s">
        <v>31</v>
      </c>
      <c r="H23" s="50" t="s">
        <v>32</v>
      </c>
      <c r="I23" s="56">
        <v>1.0</v>
      </c>
      <c r="J23" s="57">
        <v>1000.0</v>
      </c>
      <c r="K23" s="52">
        <f t="shared" si="1"/>
        <v>1000</v>
      </c>
      <c r="L23" s="53"/>
    </row>
    <row r="24" ht="14.25" customHeight="1">
      <c r="A24" s="54">
        <v>9.0</v>
      </c>
      <c r="B24" s="55">
        <v>45845.0</v>
      </c>
      <c r="C24" s="50" t="s">
        <v>4</v>
      </c>
      <c r="D24" s="58" t="s">
        <v>41</v>
      </c>
      <c r="E24" s="3"/>
      <c r="F24" s="50" t="s">
        <v>30</v>
      </c>
      <c r="G24" s="50" t="s">
        <v>31</v>
      </c>
      <c r="H24" s="50" t="s">
        <v>32</v>
      </c>
      <c r="I24" s="56">
        <v>1.0</v>
      </c>
      <c r="J24" s="57">
        <v>400.0</v>
      </c>
      <c r="K24" s="52">
        <f t="shared" si="1"/>
        <v>400</v>
      </c>
      <c r="L24" s="36"/>
    </row>
    <row r="25" ht="14.25" customHeight="1">
      <c r="A25" s="54">
        <v>10.0</v>
      </c>
      <c r="B25" s="55">
        <v>45845.0</v>
      </c>
      <c r="C25" s="50" t="s">
        <v>42</v>
      </c>
      <c r="D25" s="58" t="s">
        <v>41</v>
      </c>
      <c r="E25" s="3"/>
      <c r="F25" s="50" t="s">
        <v>30</v>
      </c>
      <c r="G25" s="50" t="s">
        <v>31</v>
      </c>
      <c r="H25" s="50" t="s">
        <v>32</v>
      </c>
      <c r="I25" s="56">
        <v>2.0</v>
      </c>
      <c r="J25" s="57">
        <v>8000.0</v>
      </c>
      <c r="K25" s="52">
        <f t="shared" si="1"/>
        <v>16000</v>
      </c>
      <c r="L25" s="53"/>
    </row>
    <row r="26" ht="14.25" customHeight="1">
      <c r="A26" s="54">
        <v>11.0</v>
      </c>
      <c r="B26" s="55">
        <v>45845.0</v>
      </c>
      <c r="C26" s="50" t="s">
        <v>4</v>
      </c>
      <c r="D26" s="58" t="s">
        <v>41</v>
      </c>
      <c r="E26" s="3"/>
      <c r="F26" s="50" t="s">
        <v>30</v>
      </c>
      <c r="G26" s="50" t="s">
        <v>31</v>
      </c>
      <c r="H26" s="50" t="s">
        <v>32</v>
      </c>
      <c r="I26" s="56">
        <v>2.0</v>
      </c>
      <c r="J26" s="57">
        <v>1500.0</v>
      </c>
      <c r="K26" s="52">
        <f t="shared" si="1"/>
        <v>3000</v>
      </c>
      <c r="L26" s="53"/>
    </row>
    <row r="27" ht="14.25" customHeight="1">
      <c r="A27" s="54">
        <v>12.0</v>
      </c>
      <c r="B27" s="55">
        <v>45850.0</v>
      </c>
      <c r="C27" s="50" t="s">
        <v>4</v>
      </c>
      <c r="D27" s="58" t="s">
        <v>35</v>
      </c>
      <c r="E27" s="3"/>
      <c r="F27" s="50" t="s">
        <v>30</v>
      </c>
      <c r="G27" s="50" t="s">
        <v>31</v>
      </c>
      <c r="H27" s="50" t="s">
        <v>32</v>
      </c>
      <c r="I27" s="56">
        <v>1.0</v>
      </c>
      <c r="J27" s="57">
        <v>800.0</v>
      </c>
      <c r="K27" s="52">
        <f t="shared" si="1"/>
        <v>800</v>
      </c>
      <c r="L27" s="53"/>
    </row>
    <row r="28" ht="14.25" customHeight="1">
      <c r="A28" s="54">
        <v>13.0</v>
      </c>
      <c r="B28" s="55">
        <v>45850.0</v>
      </c>
      <c r="C28" s="50" t="s">
        <v>43</v>
      </c>
      <c r="D28" s="58" t="s">
        <v>35</v>
      </c>
      <c r="E28" s="3"/>
      <c r="F28" s="50" t="s">
        <v>30</v>
      </c>
      <c r="G28" s="50" t="s">
        <v>31</v>
      </c>
      <c r="H28" s="50" t="s">
        <v>32</v>
      </c>
      <c r="I28" s="56">
        <v>1.0</v>
      </c>
      <c r="J28" s="57">
        <v>700.0</v>
      </c>
      <c r="K28" s="52">
        <f t="shared" si="1"/>
        <v>700</v>
      </c>
      <c r="L28" s="36"/>
    </row>
    <row r="29" ht="14.25" customHeight="1">
      <c r="A29" s="54">
        <v>14.0</v>
      </c>
      <c r="B29" s="55">
        <v>45850.0</v>
      </c>
      <c r="C29" s="50" t="s">
        <v>4</v>
      </c>
      <c r="D29" s="58" t="s">
        <v>44</v>
      </c>
      <c r="E29" s="3"/>
      <c r="F29" s="50" t="s">
        <v>30</v>
      </c>
      <c r="G29" s="50" t="s">
        <v>31</v>
      </c>
      <c r="H29" s="50" t="s">
        <v>32</v>
      </c>
      <c r="I29" s="56">
        <v>2.0</v>
      </c>
      <c r="J29" s="57">
        <v>1000.0</v>
      </c>
      <c r="K29" s="52">
        <f t="shared" si="1"/>
        <v>2000</v>
      </c>
      <c r="L29" s="36"/>
    </row>
    <row r="30" ht="14.25" customHeight="1">
      <c r="A30" s="54">
        <v>15.0</v>
      </c>
      <c r="B30" s="55">
        <v>45850.0</v>
      </c>
      <c r="C30" s="50" t="s">
        <v>4</v>
      </c>
      <c r="D30" s="58" t="s">
        <v>44</v>
      </c>
      <c r="E30" s="3"/>
      <c r="F30" s="50" t="s">
        <v>30</v>
      </c>
      <c r="G30" s="50" t="s">
        <v>45</v>
      </c>
      <c r="H30" s="50" t="s">
        <v>32</v>
      </c>
      <c r="I30" s="56">
        <v>2.0</v>
      </c>
      <c r="J30" s="57">
        <v>1000.0</v>
      </c>
      <c r="K30" s="52">
        <f t="shared" si="1"/>
        <v>2000</v>
      </c>
      <c r="L30" s="36"/>
    </row>
    <row r="31" ht="14.25" customHeight="1">
      <c r="A31" s="54">
        <v>16.0</v>
      </c>
      <c r="B31" s="55">
        <v>45852.0</v>
      </c>
      <c r="C31" s="50" t="s">
        <v>4</v>
      </c>
      <c r="D31" s="58" t="s">
        <v>46</v>
      </c>
      <c r="E31" s="3"/>
      <c r="F31" s="50" t="s">
        <v>30</v>
      </c>
      <c r="G31" s="50" t="s">
        <v>31</v>
      </c>
      <c r="H31" s="50" t="s">
        <v>32</v>
      </c>
      <c r="I31" s="56">
        <v>6.0</v>
      </c>
      <c r="J31" s="57">
        <v>2000.0</v>
      </c>
      <c r="K31" s="52">
        <f t="shared" si="1"/>
        <v>12000</v>
      </c>
      <c r="L31" s="36"/>
    </row>
    <row r="32" ht="14.25" customHeight="1">
      <c r="A32" s="54">
        <v>17.0</v>
      </c>
      <c r="B32" s="55">
        <v>45885.0</v>
      </c>
      <c r="C32" s="50" t="s">
        <v>47</v>
      </c>
      <c r="D32" s="58" t="s">
        <v>29</v>
      </c>
      <c r="E32" s="3"/>
      <c r="F32" s="50" t="s">
        <v>30</v>
      </c>
      <c r="G32" s="50" t="s">
        <v>31</v>
      </c>
      <c r="H32" s="50" t="s">
        <v>32</v>
      </c>
      <c r="I32" s="56">
        <v>7.0</v>
      </c>
      <c r="J32" s="57">
        <v>150.0</v>
      </c>
      <c r="K32" s="52">
        <f t="shared" si="1"/>
        <v>1050</v>
      </c>
      <c r="L32" s="36"/>
    </row>
    <row r="33" ht="14.25" customHeight="1">
      <c r="A33" s="54">
        <v>18.0</v>
      </c>
      <c r="B33" s="55">
        <v>45885.0</v>
      </c>
      <c r="C33" s="50" t="s">
        <v>37</v>
      </c>
      <c r="D33" s="58" t="s">
        <v>29</v>
      </c>
      <c r="E33" s="3"/>
      <c r="F33" s="50" t="s">
        <v>30</v>
      </c>
      <c r="G33" s="50" t="s">
        <v>31</v>
      </c>
      <c r="H33" s="50" t="s">
        <v>32</v>
      </c>
      <c r="I33" s="56">
        <v>8.0</v>
      </c>
      <c r="J33" s="57">
        <v>110.0</v>
      </c>
      <c r="K33" s="52">
        <f t="shared" si="1"/>
        <v>880</v>
      </c>
      <c r="L33" s="36"/>
    </row>
    <row r="34" ht="14.25" customHeight="1">
      <c r="A34" s="54">
        <v>19.0</v>
      </c>
      <c r="B34" s="55">
        <v>45894.0</v>
      </c>
      <c r="C34" s="50" t="s">
        <v>4</v>
      </c>
      <c r="D34" s="58" t="s">
        <v>48</v>
      </c>
      <c r="E34" s="3"/>
      <c r="F34" s="50" t="s">
        <v>49</v>
      </c>
      <c r="G34" s="50" t="s">
        <v>31</v>
      </c>
      <c r="H34" s="50" t="s">
        <v>32</v>
      </c>
      <c r="I34" s="56">
        <v>9.0</v>
      </c>
      <c r="J34" s="57">
        <v>789.0</v>
      </c>
      <c r="K34" s="52">
        <f t="shared" si="1"/>
        <v>7101</v>
      </c>
      <c r="L34" s="53" t="s">
        <v>50</v>
      </c>
    </row>
    <row r="35" ht="14.25" customHeight="1">
      <c r="A35" s="54">
        <v>20.0</v>
      </c>
      <c r="B35" s="55">
        <v>45894.0</v>
      </c>
      <c r="C35" s="50" t="s">
        <v>4</v>
      </c>
      <c r="D35" s="58" t="s">
        <v>51</v>
      </c>
      <c r="E35" s="3"/>
      <c r="F35" s="50" t="s">
        <v>52</v>
      </c>
      <c r="G35" s="50" t="s">
        <v>31</v>
      </c>
      <c r="H35" s="50" t="s">
        <v>32</v>
      </c>
      <c r="I35" s="56">
        <v>6.0</v>
      </c>
      <c r="J35" s="57">
        <v>1767.0</v>
      </c>
      <c r="K35" s="52">
        <f t="shared" si="1"/>
        <v>10602</v>
      </c>
      <c r="L35" s="53" t="s">
        <v>53</v>
      </c>
    </row>
    <row r="36" ht="14.25" customHeight="1">
      <c r="A36" s="54">
        <v>21.0</v>
      </c>
      <c r="B36" s="55">
        <v>45912.0</v>
      </c>
      <c r="C36" s="50" t="s">
        <v>4</v>
      </c>
      <c r="D36" s="58" t="s">
        <v>54</v>
      </c>
      <c r="E36" s="3"/>
      <c r="F36" s="50" t="s">
        <v>49</v>
      </c>
      <c r="G36" s="50" t="s">
        <v>31</v>
      </c>
      <c r="H36" s="50" t="s">
        <v>32</v>
      </c>
      <c r="I36" s="56">
        <v>10.0</v>
      </c>
      <c r="J36" s="57">
        <v>1200.0</v>
      </c>
      <c r="K36" s="52">
        <f t="shared" si="1"/>
        <v>12000</v>
      </c>
      <c r="L36" s="53" t="s">
        <v>55</v>
      </c>
    </row>
    <row r="37" ht="14.25" customHeight="1">
      <c r="A37" s="54">
        <v>22.0</v>
      </c>
      <c r="B37" s="55">
        <v>45914.0</v>
      </c>
      <c r="C37" s="50" t="s">
        <v>4</v>
      </c>
      <c r="D37" s="58" t="s">
        <v>56</v>
      </c>
      <c r="E37" s="3"/>
      <c r="F37" s="50" t="s">
        <v>49</v>
      </c>
      <c r="G37" s="50" t="s">
        <v>31</v>
      </c>
      <c r="H37" s="50" t="s">
        <v>32</v>
      </c>
      <c r="I37" s="56">
        <v>4.0</v>
      </c>
      <c r="J37" s="57">
        <v>625.0</v>
      </c>
      <c r="K37" s="52">
        <f t="shared" si="1"/>
        <v>2500</v>
      </c>
      <c r="L37" s="59" t="s">
        <v>57</v>
      </c>
    </row>
    <row r="38" ht="14.25" customHeight="1">
      <c r="A38" s="54">
        <v>23.0</v>
      </c>
      <c r="B38" s="55">
        <v>45914.0</v>
      </c>
      <c r="C38" s="50" t="s">
        <v>58</v>
      </c>
      <c r="D38" s="58" t="s">
        <v>41</v>
      </c>
      <c r="E38" s="3"/>
      <c r="F38" s="50" t="s">
        <v>49</v>
      </c>
      <c r="G38" s="50" t="s">
        <v>31</v>
      </c>
      <c r="H38" s="50" t="s">
        <v>32</v>
      </c>
      <c r="I38" s="56">
        <v>13.0</v>
      </c>
      <c r="J38" s="57">
        <v>154.0</v>
      </c>
      <c r="K38" s="52">
        <f t="shared" si="1"/>
        <v>2002</v>
      </c>
      <c r="L38" s="60" t="s">
        <v>59</v>
      </c>
    </row>
    <row r="39" ht="14.25" customHeight="1">
      <c r="A39" s="54">
        <v>24.0</v>
      </c>
      <c r="B39" s="55">
        <v>45944.0</v>
      </c>
      <c r="C39" s="50" t="s">
        <v>4</v>
      </c>
      <c r="D39" s="58" t="s">
        <v>60</v>
      </c>
      <c r="E39" s="3"/>
      <c r="F39" s="50" t="s">
        <v>61</v>
      </c>
      <c r="G39" s="50" t="s">
        <v>31</v>
      </c>
      <c r="H39" s="50" t="s">
        <v>32</v>
      </c>
      <c r="I39" s="56">
        <v>6.0</v>
      </c>
      <c r="J39" s="57">
        <v>1275.0</v>
      </c>
      <c r="K39" s="52">
        <f t="shared" si="1"/>
        <v>7650</v>
      </c>
      <c r="L39" s="60" t="s">
        <v>62</v>
      </c>
    </row>
    <row r="40" ht="14.25" customHeight="1">
      <c r="A40" s="54">
        <v>25.0</v>
      </c>
      <c r="B40" s="55">
        <v>45944.0</v>
      </c>
      <c r="C40" s="50" t="s">
        <v>4</v>
      </c>
      <c r="D40" s="58" t="s">
        <v>63</v>
      </c>
      <c r="E40" s="3"/>
      <c r="F40" s="50" t="s">
        <v>64</v>
      </c>
      <c r="G40" s="50" t="s">
        <v>31</v>
      </c>
      <c r="H40" s="50" t="s">
        <v>32</v>
      </c>
      <c r="I40" s="56">
        <v>6.0</v>
      </c>
      <c r="J40" s="57">
        <v>1083.0</v>
      </c>
      <c r="K40" s="52">
        <f t="shared" si="1"/>
        <v>6498</v>
      </c>
      <c r="L40" s="60" t="s">
        <v>65</v>
      </c>
    </row>
    <row r="41" ht="14.25" customHeight="1">
      <c r="A41" s="54">
        <v>26.0</v>
      </c>
      <c r="B41" s="55">
        <v>45944.0</v>
      </c>
      <c r="C41" s="50" t="s">
        <v>4</v>
      </c>
      <c r="D41" s="58" t="s">
        <v>63</v>
      </c>
      <c r="E41" s="3"/>
      <c r="F41" s="50" t="s">
        <v>64</v>
      </c>
      <c r="G41" s="50" t="s">
        <v>31</v>
      </c>
      <c r="H41" s="50" t="s">
        <v>32</v>
      </c>
      <c r="I41" s="56">
        <v>6.0</v>
      </c>
      <c r="J41" s="57">
        <v>1083.0</v>
      </c>
      <c r="K41" s="52">
        <f t="shared" si="1"/>
        <v>6498</v>
      </c>
      <c r="L41" s="60" t="s">
        <v>65</v>
      </c>
    </row>
    <row r="42" ht="14.25" customHeight="1">
      <c r="A42" s="54">
        <v>27.0</v>
      </c>
      <c r="B42" s="55">
        <v>45944.0</v>
      </c>
      <c r="C42" s="50" t="s">
        <v>4</v>
      </c>
      <c r="D42" s="58" t="s">
        <v>41</v>
      </c>
      <c r="E42" s="3"/>
      <c r="F42" s="50" t="s">
        <v>30</v>
      </c>
      <c r="G42" s="50" t="s">
        <v>31</v>
      </c>
      <c r="H42" s="50" t="s">
        <v>32</v>
      </c>
      <c r="I42" s="56">
        <v>4.0</v>
      </c>
      <c r="J42" s="57">
        <v>1375.0</v>
      </c>
      <c r="K42" s="52">
        <f t="shared" si="1"/>
        <v>5500</v>
      </c>
      <c r="L42" s="53"/>
    </row>
    <row r="43" ht="14.25" customHeight="1">
      <c r="A43" s="54">
        <v>28.0</v>
      </c>
      <c r="B43" s="55">
        <v>45945.0</v>
      </c>
      <c r="C43" s="50" t="s">
        <v>4</v>
      </c>
      <c r="D43" s="58" t="s">
        <v>41</v>
      </c>
      <c r="E43" s="3"/>
      <c r="F43" s="50" t="s">
        <v>30</v>
      </c>
      <c r="G43" s="50" t="s">
        <v>31</v>
      </c>
      <c r="H43" s="50" t="s">
        <v>32</v>
      </c>
      <c r="I43" s="56">
        <v>2.0</v>
      </c>
      <c r="J43" s="57">
        <v>7000.0</v>
      </c>
      <c r="K43" s="52">
        <f t="shared" si="1"/>
        <v>14000</v>
      </c>
      <c r="L43" s="53" t="s">
        <v>66</v>
      </c>
    </row>
    <row r="44" ht="14.25" customHeight="1">
      <c r="A44" s="54">
        <v>29.0</v>
      </c>
      <c r="B44" s="55">
        <v>45952.0</v>
      </c>
      <c r="C44" s="50" t="s">
        <v>47</v>
      </c>
      <c r="D44" s="58" t="s">
        <v>67</v>
      </c>
      <c r="E44" s="3"/>
      <c r="F44" s="50" t="s">
        <v>30</v>
      </c>
      <c r="G44" s="50" t="s">
        <v>31</v>
      </c>
      <c r="H44" s="50" t="s">
        <v>68</v>
      </c>
      <c r="I44" s="56">
        <v>2.0</v>
      </c>
      <c r="J44" s="57">
        <v>300.0</v>
      </c>
      <c r="K44" s="52">
        <f t="shared" si="1"/>
        <v>600</v>
      </c>
      <c r="L44" s="53" t="s">
        <v>69</v>
      </c>
    </row>
    <row r="45" ht="14.25" customHeight="1">
      <c r="A45" s="54">
        <v>30.0</v>
      </c>
      <c r="B45" s="55">
        <v>45945.0</v>
      </c>
      <c r="C45" s="50" t="s">
        <v>4</v>
      </c>
      <c r="D45" s="58" t="s">
        <v>70</v>
      </c>
      <c r="E45" s="3"/>
      <c r="F45" s="50" t="s">
        <v>30</v>
      </c>
      <c r="G45" s="50" t="s">
        <v>31</v>
      </c>
      <c r="H45" s="50" t="s">
        <v>32</v>
      </c>
      <c r="I45" s="56">
        <v>2.0</v>
      </c>
      <c r="J45" s="57">
        <v>1000.0</v>
      </c>
      <c r="K45" s="52">
        <f t="shared" si="1"/>
        <v>2000</v>
      </c>
      <c r="L45" s="53" t="s">
        <v>71</v>
      </c>
    </row>
    <row r="46" ht="14.25" customHeight="1">
      <c r="A46" s="54">
        <v>31.0</v>
      </c>
      <c r="B46" s="55">
        <v>45952.0</v>
      </c>
      <c r="C46" s="50" t="s">
        <v>72</v>
      </c>
      <c r="D46" s="58" t="s">
        <v>70</v>
      </c>
      <c r="E46" s="3"/>
      <c r="F46" s="50" t="s">
        <v>30</v>
      </c>
      <c r="G46" s="50" t="s">
        <v>31</v>
      </c>
      <c r="H46" s="50" t="s">
        <v>32</v>
      </c>
      <c r="I46" s="56">
        <v>2.0</v>
      </c>
      <c r="J46" s="57">
        <v>1000.0</v>
      </c>
      <c r="K46" s="52">
        <f t="shared" si="1"/>
        <v>2000</v>
      </c>
      <c r="L46" s="36"/>
    </row>
    <row r="47" ht="14.25" customHeight="1">
      <c r="A47" s="54">
        <v>32.0</v>
      </c>
      <c r="B47" s="55">
        <v>45945.0</v>
      </c>
      <c r="C47" s="50" t="s">
        <v>37</v>
      </c>
      <c r="D47" s="58" t="s">
        <v>73</v>
      </c>
      <c r="E47" s="3"/>
      <c r="F47" s="50" t="s">
        <v>64</v>
      </c>
      <c r="G47" s="50" t="s">
        <v>31</v>
      </c>
      <c r="H47" s="50" t="s">
        <v>32</v>
      </c>
      <c r="I47" s="56">
        <v>4.0</v>
      </c>
      <c r="J47" s="57">
        <v>750.0</v>
      </c>
      <c r="K47" s="52">
        <f t="shared" si="1"/>
        <v>3000</v>
      </c>
      <c r="L47" s="53" t="s">
        <v>74</v>
      </c>
    </row>
    <row r="48" ht="14.25" customHeight="1">
      <c r="A48" s="54">
        <v>33.0</v>
      </c>
      <c r="B48" s="55">
        <v>45952.0</v>
      </c>
      <c r="C48" s="50" t="s">
        <v>4</v>
      </c>
      <c r="D48" s="58" t="s">
        <v>75</v>
      </c>
      <c r="E48" s="3"/>
      <c r="F48" s="50" t="s">
        <v>61</v>
      </c>
      <c r="G48" s="50" t="s">
        <v>31</v>
      </c>
      <c r="H48" s="50" t="s">
        <v>32</v>
      </c>
      <c r="I48" s="56">
        <v>6.0</v>
      </c>
      <c r="J48" s="57">
        <v>1275.0</v>
      </c>
      <c r="K48" s="52">
        <f t="shared" si="1"/>
        <v>7650</v>
      </c>
      <c r="L48" s="53" t="s">
        <v>71</v>
      </c>
    </row>
    <row r="49" ht="14.25" customHeight="1">
      <c r="A49" s="54">
        <v>34.0</v>
      </c>
      <c r="B49" s="55">
        <v>45945.0</v>
      </c>
      <c r="C49" s="50" t="s">
        <v>4</v>
      </c>
      <c r="D49" s="58" t="s">
        <v>73</v>
      </c>
      <c r="E49" s="3"/>
      <c r="F49" s="50" t="s">
        <v>64</v>
      </c>
      <c r="G49" s="50" t="s">
        <v>31</v>
      </c>
      <c r="H49" s="50" t="s">
        <v>32</v>
      </c>
      <c r="I49" s="56">
        <v>2.0</v>
      </c>
      <c r="J49" s="57">
        <v>7500.0</v>
      </c>
      <c r="K49" s="52">
        <f t="shared" si="1"/>
        <v>15000</v>
      </c>
      <c r="L49" s="53" t="s">
        <v>74</v>
      </c>
    </row>
    <row r="50" ht="14.25" customHeight="1">
      <c r="A50" s="54">
        <v>35.0</v>
      </c>
      <c r="B50" s="55">
        <v>45952.0</v>
      </c>
      <c r="C50" s="50" t="s">
        <v>36</v>
      </c>
      <c r="D50" s="58" t="s">
        <v>34</v>
      </c>
      <c r="E50" s="3"/>
      <c r="F50" s="50" t="s">
        <v>30</v>
      </c>
      <c r="G50" s="50" t="s">
        <v>31</v>
      </c>
      <c r="H50" s="50" t="s">
        <v>32</v>
      </c>
      <c r="I50" s="56">
        <v>2.0</v>
      </c>
      <c r="J50" s="57">
        <v>600.0</v>
      </c>
      <c r="K50" s="52">
        <f t="shared" si="1"/>
        <v>1200</v>
      </c>
      <c r="L50" s="36"/>
    </row>
    <row r="51" ht="14.25" customHeight="1">
      <c r="A51" s="54">
        <v>36.0</v>
      </c>
      <c r="B51" s="55">
        <v>45945.0</v>
      </c>
      <c r="C51" s="50" t="s">
        <v>33</v>
      </c>
      <c r="D51" s="58" t="s">
        <v>34</v>
      </c>
      <c r="E51" s="3"/>
      <c r="F51" s="50" t="s">
        <v>30</v>
      </c>
      <c r="G51" s="50" t="s">
        <v>31</v>
      </c>
      <c r="H51" s="50" t="s">
        <v>32</v>
      </c>
      <c r="I51" s="56">
        <v>3.0</v>
      </c>
      <c r="J51" s="57">
        <v>750.0</v>
      </c>
      <c r="K51" s="52">
        <f t="shared" si="1"/>
        <v>2250</v>
      </c>
      <c r="L51" s="36"/>
    </row>
    <row r="52" ht="14.25" customHeight="1">
      <c r="A52" s="54">
        <v>37.0</v>
      </c>
      <c r="B52" s="55">
        <v>46011.0</v>
      </c>
      <c r="C52" s="50" t="s">
        <v>4</v>
      </c>
      <c r="D52" s="58" t="s">
        <v>76</v>
      </c>
      <c r="E52" s="3"/>
      <c r="F52" s="50" t="s">
        <v>64</v>
      </c>
      <c r="G52" s="50" t="s">
        <v>31</v>
      </c>
      <c r="H52" s="50" t="s">
        <v>32</v>
      </c>
      <c r="I52" s="56">
        <v>2.0</v>
      </c>
      <c r="J52" s="57">
        <v>5000.0</v>
      </c>
      <c r="K52" s="52">
        <f t="shared" si="1"/>
        <v>10000</v>
      </c>
      <c r="L52" s="53" t="s">
        <v>77</v>
      </c>
    </row>
    <row r="53" ht="14.25" customHeight="1">
      <c r="A53" s="54">
        <v>38.0</v>
      </c>
      <c r="B53" s="55">
        <v>46017.0</v>
      </c>
      <c r="C53" s="50" t="s">
        <v>37</v>
      </c>
      <c r="D53" s="58" t="s">
        <v>54</v>
      </c>
      <c r="E53" s="3"/>
      <c r="F53" s="50" t="s">
        <v>49</v>
      </c>
      <c r="G53" s="50" t="s">
        <v>31</v>
      </c>
      <c r="H53" s="50" t="s">
        <v>32</v>
      </c>
      <c r="I53" s="56">
        <v>2.0</v>
      </c>
      <c r="J53" s="57">
        <v>1250.0</v>
      </c>
      <c r="K53" s="52">
        <f t="shared" si="1"/>
        <v>2500</v>
      </c>
      <c r="L53" s="53" t="s">
        <v>78</v>
      </c>
    </row>
    <row r="54" ht="14.25" customHeight="1">
      <c r="A54" s="54">
        <v>39.0</v>
      </c>
      <c r="B54" s="55">
        <v>46007.0</v>
      </c>
      <c r="C54" s="50" t="s">
        <v>37</v>
      </c>
      <c r="D54" s="58" t="s">
        <v>79</v>
      </c>
      <c r="E54" s="3"/>
      <c r="F54" s="50" t="s">
        <v>61</v>
      </c>
      <c r="G54" s="50" t="s">
        <v>31</v>
      </c>
      <c r="H54" s="50" t="s">
        <v>32</v>
      </c>
      <c r="I54" s="56">
        <v>4.0</v>
      </c>
      <c r="J54" s="57">
        <v>450.0</v>
      </c>
      <c r="K54" s="52">
        <f t="shared" si="1"/>
        <v>1800</v>
      </c>
      <c r="L54" s="53" t="s">
        <v>80</v>
      </c>
    </row>
    <row r="55" ht="14.25" customHeight="1">
      <c r="A55" s="54">
        <v>40.0</v>
      </c>
      <c r="B55" s="55">
        <v>46023.0</v>
      </c>
      <c r="C55" s="50" t="s">
        <v>4</v>
      </c>
      <c r="D55" s="58" t="s">
        <v>81</v>
      </c>
      <c r="E55" s="3"/>
      <c r="F55" s="50" t="s">
        <v>64</v>
      </c>
      <c r="G55" s="50" t="s">
        <v>31</v>
      </c>
      <c r="H55" s="50" t="s">
        <v>32</v>
      </c>
      <c r="I55" s="56">
        <v>13.0</v>
      </c>
      <c r="J55" s="57">
        <v>1500.0</v>
      </c>
      <c r="K55" s="52">
        <f t="shared" si="1"/>
        <v>19500</v>
      </c>
      <c r="L55" s="36"/>
    </row>
    <row r="56" ht="14.25" customHeight="1">
      <c r="A56" s="54">
        <v>41.0</v>
      </c>
      <c r="B56" s="55">
        <v>45952.0</v>
      </c>
      <c r="C56" s="50" t="s">
        <v>47</v>
      </c>
      <c r="D56" s="58" t="s">
        <v>82</v>
      </c>
      <c r="E56" s="3"/>
      <c r="F56" s="50" t="s">
        <v>30</v>
      </c>
      <c r="G56" s="50" t="s">
        <v>31</v>
      </c>
      <c r="H56" s="50" t="s">
        <v>32</v>
      </c>
      <c r="I56" s="56">
        <v>1.0</v>
      </c>
      <c r="J56" s="57">
        <v>250.0</v>
      </c>
      <c r="K56" s="52">
        <f t="shared" si="1"/>
        <v>250</v>
      </c>
      <c r="L56" s="36"/>
    </row>
    <row r="57" ht="14.25" customHeight="1">
      <c r="A57" s="54">
        <v>42.0</v>
      </c>
      <c r="B57" s="55">
        <v>46005.0</v>
      </c>
      <c r="C57" s="50" t="s">
        <v>4</v>
      </c>
      <c r="D57" s="58" t="s">
        <v>76</v>
      </c>
      <c r="E57" s="3"/>
      <c r="F57" s="50" t="s">
        <v>64</v>
      </c>
      <c r="G57" s="50" t="s">
        <v>31</v>
      </c>
      <c r="H57" s="50" t="s">
        <v>32</v>
      </c>
      <c r="I57" s="56">
        <v>2.0</v>
      </c>
      <c r="J57" s="57">
        <v>7500.0</v>
      </c>
      <c r="K57" s="52">
        <f t="shared" si="1"/>
        <v>15000</v>
      </c>
      <c r="L57" s="53" t="s">
        <v>83</v>
      </c>
    </row>
    <row r="58" ht="14.25" customHeight="1">
      <c r="A58" s="54">
        <v>43.0</v>
      </c>
      <c r="B58" s="55">
        <v>46027.0</v>
      </c>
      <c r="C58" s="50" t="s">
        <v>42</v>
      </c>
      <c r="D58" s="58" t="s">
        <v>41</v>
      </c>
      <c r="E58" s="3"/>
      <c r="F58" s="50" t="s">
        <v>84</v>
      </c>
      <c r="G58" s="50" t="s">
        <v>31</v>
      </c>
      <c r="H58" s="50" t="s">
        <v>32</v>
      </c>
      <c r="I58" s="56">
        <v>1.0</v>
      </c>
      <c r="J58" s="57">
        <v>15000.0</v>
      </c>
      <c r="K58" s="52">
        <f t="shared" si="1"/>
        <v>15000</v>
      </c>
      <c r="L58" s="36"/>
    </row>
    <row r="59" ht="14.25" customHeight="1">
      <c r="A59" s="54">
        <v>44.0</v>
      </c>
      <c r="B59" s="55">
        <v>46035.0</v>
      </c>
      <c r="C59" s="50" t="s">
        <v>4</v>
      </c>
      <c r="D59" s="58" t="s">
        <v>85</v>
      </c>
      <c r="E59" s="3"/>
      <c r="F59" s="50" t="s">
        <v>86</v>
      </c>
      <c r="G59" s="50" t="s">
        <v>31</v>
      </c>
      <c r="H59" s="50" t="s">
        <v>32</v>
      </c>
      <c r="I59" s="56">
        <v>6.0</v>
      </c>
      <c r="J59" s="57">
        <v>1850.0</v>
      </c>
      <c r="K59" s="52">
        <f t="shared" si="1"/>
        <v>11100</v>
      </c>
      <c r="L59" s="53" t="s">
        <v>87</v>
      </c>
    </row>
    <row r="60" ht="14.25" customHeight="1">
      <c r="A60" s="54">
        <v>45.0</v>
      </c>
      <c r="B60" s="55">
        <v>46067.0</v>
      </c>
      <c r="C60" s="50" t="s">
        <v>4</v>
      </c>
      <c r="D60" s="58" t="s">
        <v>70</v>
      </c>
      <c r="E60" s="3"/>
      <c r="F60" s="50" t="s">
        <v>30</v>
      </c>
      <c r="G60" s="50" t="s">
        <v>31</v>
      </c>
      <c r="H60" s="50" t="s">
        <v>32</v>
      </c>
      <c r="I60" s="56">
        <v>1.0</v>
      </c>
      <c r="J60" s="57">
        <v>1500.0</v>
      </c>
      <c r="K60" s="52">
        <f t="shared" si="1"/>
        <v>1500</v>
      </c>
      <c r="L60" s="53" t="s">
        <v>88</v>
      </c>
    </row>
    <row r="61" ht="14.25" customHeight="1">
      <c r="A61" s="54">
        <v>46.0</v>
      </c>
      <c r="B61" s="55">
        <v>46075.0</v>
      </c>
      <c r="C61" s="50" t="s">
        <v>4</v>
      </c>
      <c r="D61" s="58" t="s">
        <v>89</v>
      </c>
      <c r="E61" s="3"/>
      <c r="F61" s="50" t="s">
        <v>49</v>
      </c>
      <c r="G61" s="50" t="s">
        <v>31</v>
      </c>
      <c r="H61" s="50" t="s">
        <v>32</v>
      </c>
      <c r="I61" s="56">
        <v>2.0</v>
      </c>
      <c r="J61" s="57">
        <v>1600.0</v>
      </c>
      <c r="K61" s="52">
        <f t="shared" si="1"/>
        <v>3200</v>
      </c>
      <c r="L61" s="53" t="s">
        <v>90</v>
      </c>
    </row>
    <row r="62" ht="14.25" customHeight="1">
      <c r="A62" s="54">
        <v>47.0</v>
      </c>
      <c r="B62" s="55">
        <v>46075.0</v>
      </c>
      <c r="C62" s="50" t="s">
        <v>4</v>
      </c>
      <c r="D62" s="58" t="s">
        <v>54</v>
      </c>
      <c r="E62" s="3"/>
      <c r="F62" s="50" t="s">
        <v>49</v>
      </c>
      <c r="G62" s="50" t="s">
        <v>31</v>
      </c>
      <c r="H62" s="50" t="s">
        <v>32</v>
      </c>
      <c r="I62" s="56">
        <v>2.0</v>
      </c>
      <c r="J62" s="57">
        <v>1500.0</v>
      </c>
      <c r="K62" s="52">
        <f t="shared" si="1"/>
        <v>3000</v>
      </c>
      <c r="L62" s="53" t="s">
        <v>90</v>
      </c>
    </row>
    <row r="63" ht="14.25" customHeight="1">
      <c r="A63" s="46"/>
      <c r="B63" s="55">
        <v>46076.0</v>
      </c>
      <c r="C63" s="50" t="s">
        <v>4</v>
      </c>
      <c r="D63" s="58" t="s">
        <v>91</v>
      </c>
      <c r="E63" s="3"/>
      <c r="F63" s="50" t="s">
        <v>49</v>
      </c>
      <c r="G63" s="50" t="s">
        <v>31</v>
      </c>
      <c r="H63" s="50" t="s">
        <v>32</v>
      </c>
      <c r="I63" s="56">
        <v>4.0</v>
      </c>
      <c r="J63" s="57">
        <v>1500.0</v>
      </c>
      <c r="K63" s="52">
        <f t="shared" si="1"/>
        <v>6000</v>
      </c>
      <c r="L63" s="53" t="s">
        <v>90</v>
      </c>
    </row>
    <row r="64" ht="14.25" customHeight="1">
      <c r="A64" s="46"/>
      <c r="B64" s="55">
        <v>46081.0</v>
      </c>
      <c r="C64" s="50" t="s">
        <v>37</v>
      </c>
      <c r="D64" s="58" t="s">
        <v>92</v>
      </c>
      <c r="E64" s="3"/>
      <c r="F64" s="50" t="s">
        <v>93</v>
      </c>
      <c r="G64" s="50" t="s">
        <v>31</v>
      </c>
      <c r="H64" s="50" t="s">
        <v>32</v>
      </c>
      <c r="I64" s="56">
        <v>32.0</v>
      </c>
      <c r="J64" s="57">
        <v>200.0</v>
      </c>
      <c r="K64" s="52">
        <f t="shared" si="1"/>
        <v>6400</v>
      </c>
      <c r="L64" s="53" t="s">
        <v>94</v>
      </c>
    </row>
    <row r="65" ht="14.25" customHeight="1">
      <c r="A65" s="46"/>
      <c r="B65" s="55">
        <v>46110.0</v>
      </c>
      <c r="C65" s="50" t="s">
        <v>4</v>
      </c>
      <c r="D65" s="58" t="s">
        <v>95</v>
      </c>
      <c r="E65" s="3"/>
      <c r="F65" s="50" t="s">
        <v>30</v>
      </c>
      <c r="G65" s="50" t="s">
        <v>31</v>
      </c>
      <c r="H65" s="50" t="s">
        <v>32</v>
      </c>
      <c r="I65" s="56">
        <v>4.0</v>
      </c>
      <c r="J65" s="57">
        <v>1625.0</v>
      </c>
      <c r="K65" s="52">
        <f t="shared" si="1"/>
        <v>6500</v>
      </c>
      <c r="L65" s="36"/>
    </row>
    <row r="66" ht="14.25" customHeight="1">
      <c r="A66" s="46"/>
      <c r="B66" s="55">
        <v>46112.0</v>
      </c>
      <c r="C66" s="50" t="s">
        <v>4</v>
      </c>
      <c r="D66" s="58" t="s">
        <v>96</v>
      </c>
      <c r="E66" s="3"/>
      <c r="F66" s="50" t="s">
        <v>97</v>
      </c>
      <c r="G66" s="50" t="s">
        <v>31</v>
      </c>
      <c r="H66" s="50" t="s">
        <v>32</v>
      </c>
      <c r="I66" s="56">
        <v>4.0</v>
      </c>
      <c r="J66" s="57">
        <v>1500.0</v>
      </c>
      <c r="K66" s="52">
        <f t="shared" si="1"/>
        <v>6000</v>
      </c>
      <c r="L66" s="36"/>
    </row>
    <row r="67" ht="14.25" customHeight="1">
      <c r="A67" s="46"/>
      <c r="B67" s="55">
        <v>46118.0</v>
      </c>
      <c r="C67" s="50" t="s">
        <v>4</v>
      </c>
      <c r="D67" s="58" t="s">
        <v>98</v>
      </c>
      <c r="E67" s="3"/>
      <c r="F67" s="50" t="s">
        <v>64</v>
      </c>
      <c r="G67" s="50" t="s">
        <v>31</v>
      </c>
      <c r="H67" s="50" t="s">
        <v>32</v>
      </c>
      <c r="I67" s="56">
        <v>16.0</v>
      </c>
      <c r="J67" s="57">
        <v>1450.0</v>
      </c>
      <c r="K67" s="52">
        <f t="shared" si="1"/>
        <v>23200</v>
      </c>
      <c r="L67" s="53" t="s">
        <v>99</v>
      </c>
    </row>
    <row r="68" ht="14.25" customHeight="1">
      <c r="A68" s="46"/>
      <c r="B68" s="55">
        <v>46114.0</v>
      </c>
      <c r="C68" s="50" t="s">
        <v>4</v>
      </c>
      <c r="D68" s="58" t="s">
        <v>100</v>
      </c>
      <c r="E68" s="3"/>
      <c r="F68" s="50" t="s">
        <v>30</v>
      </c>
      <c r="G68" s="50" t="s">
        <v>31</v>
      </c>
      <c r="H68" s="50" t="s">
        <v>32</v>
      </c>
      <c r="I68" s="56">
        <v>4.0</v>
      </c>
      <c r="J68" s="57">
        <v>3500.0</v>
      </c>
      <c r="K68" s="52">
        <f t="shared" si="1"/>
        <v>14000</v>
      </c>
      <c r="L68" s="53" t="s">
        <v>101</v>
      </c>
    </row>
    <row r="69" ht="14.25" customHeight="1">
      <c r="A69" s="46"/>
      <c r="B69" s="47"/>
      <c r="C69" s="50" t="s">
        <v>37</v>
      </c>
      <c r="D69" s="58" t="s">
        <v>102</v>
      </c>
      <c r="E69" s="3"/>
      <c r="F69" s="50" t="s">
        <v>30</v>
      </c>
      <c r="G69" s="50" t="s">
        <v>31</v>
      </c>
      <c r="H69" s="50" t="s">
        <v>32</v>
      </c>
      <c r="I69" s="56">
        <v>2.0</v>
      </c>
      <c r="J69" s="57">
        <v>250.0</v>
      </c>
      <c r="K69" s="52">
        <f t="shared" si="1"/>
        <v>500</v>
      </c>
      <c r="L69" s="36"/>
    </row>
    <row r="70" ht="14.25" customHeight="1">
      <c r="A70" s="46"/>
      <c r="B70" s="47"/>
      <c r="C70" s="48"/>
      <c r="D70" s="49"/>
      <c r="E70" s="3"/>
      <c r="F70" s="48"/>
      <c r="G70" s="48"/>
      <c r="H70" s="48"/>
      <c r="I70" s="51"/>
      <c r="J70" s="52"/>
      <c r="K70" s="52">
        <f t="shared" si="1"/>
        <v>0</v>
      </c>
      <c r="L70" s="36"/>
    </row>
    <row r="71" ht="14.25" customHeight="1">
      <c r="A71" s="46"/>
      <c r="B71" s="47"/>
      <c r="C71" s="48"/>
      <c r="D71" s="49"/>
      <c r="E71" s="3"/>
      <c r="F71" s="48"/>
      <c r="G71" s="48"/>
      <c r="H71" s="48"/>
      <c r="I71" s="51"/>
      <c r="J71" s="52"/>
      <c r="K71" s="52">
        <f t="shared" si="1"/>
        <v>0</v>
      </c>
      <c r="L71" s="36"/>
    </row>
    <row r="72" ht="14.25" customHeight="1">
      <c r="A72" s="46"/>
      <c r="B72" s="47"/>
      <c r="C72" s="48"/>
      <c r="D72" s="49"/>
      <c r="E72" s="3"/>
      <c r="F72" s="48"/>
      <c r="G72" s="48"/>
      <c r="H72" s="48"/>
      <c r="I72" s="51"/>
      <c r="J72" s="52"/>
      <c r="K72" s="52">
        <f t="shared" si="1"/>
        <v>0</v>
      </c>
      <c r="L72" s="36"/>
    </row>
    <row r="73" ht="14.25" customHeight="1">
      <c r="A73" s="46"/>
      <c r="B73" s="47"/>
      <c r="C73" s="48"/>
      <c r="D73" s="49"/>
      <c r="E73" s="3"/>
      <c r="F73" s="48"/>
      <c r="G73" s="48"/>
      <c r="H73" s="48"/>
      <c r="I73" s="51"/>
      <c r="J73" s="52"/>
      <c r="K73" s="52">
        <f t="shared" si="1"/>
        <v>0</v>
      </c>
      <c r="L73" s="36"/>
    </row>
    <row r="74" ht="14.25" customHeight="1">
      <c r="A74" s="46"/>
      <c r="B74" s="47"/>
      <c r="C74" s="48"/>
      <c r="D74" s="49"/>
      <c r="E74" s="3"/>
      <c r="F74" s="48"/>
      <c r="G74" s="48"/>
      <c r="H74" s="48"/>
      <c r="I74" s="51"/>
      <c r="J74" s="52"/>
      <c r="K74" s="52">
        <f t="shared" si="1"/>
        <v>0</v>
      </c>
      <c r="L74" s="36"/>
    </row>
    <row r="75" ht="14.25" customHeight="1">
      <c r="A75" s="46"/>
      <c r="B75" s="47"/>
      <c r="C75" s="48"/>
      <c r="D75" s="49"/>
      <c r="E75" s="3"/>
      <c r="F75" s="48"/>
      <c r="G75" s="48"/>
      <c r="H75" s="48"/>
      <c r="I75" s="51"/>
      <c r="J75" s="52"/>
      <c r="K75" s="52">
        <f t="shared" si="1"/>
        <v>0</v>
      </c>
      <c r="L75" s="36"/>
    </row>
    <row r="76" ht="14.25" customHeight="1">
      <c r="A76" s="46"/>
      <c r="B76" s="47"/>
      <c r="C76" s="48"/>
      <c r="D76" s="49"/>
      <c r="E76" s="3"/>
      <c r="F76" s="48"/>
      <c r="G76" s="48"/>
      <c r="H76" s="48"/>
      <c r="I76" s="51"/>
      <c r="J76" s="52"/>
      <c r="K76" s="52">
        <f t="shared" si="1"/>
        <v>0</v>
      </c>
      <c r="L76" s="36"/>
    </row>
    <row r="77" ht="14.25" customHeight="1">
      <c r="A77" s="46"/>
      <c r="B77" s="47"/>
      <c r="C77" s="48"/>
      <c r="D77" s="49"/>
      <c r="E77" s="3"/>
      <c r="F77" s="48"/>
      <c r="G77" s="48"/>
      <c r="H77" s="48"/>
      <c r="I77" s="51"/>
      <c r="J77" s="52"/>
      <c r="K77" s="52">
        <f t="shared" si="1"/>
        <v>0</v>
      </c>
      <c r="L77" s="36"/>
    </row>
    <row r="78" ht="14.25" customHeight="1">
      <c r="A78" s="46"/>
      <c r="B78" s="47"/>
      <c r="C78" s="48"/>
      <c r="D78" s="49"/>
      <c r="E78" s="3"/>
      <c r="F78" s="48"/>
      <c r="G78" s="48"/>
      <c r="H78" s="48"/>
      <c r="I78" s="51"/>
      <c r="J78" s="52"/>
      <c r="K78" s="52">
        <f t="shared" si="1"/>
        <v>0</v>
      </c>
      <c r="L78" s="36"/>
    </row>
    <row r="79" ht="14.25" customHeight="1">
      <c r="A79" s="46"/>
      <c r="B79" s="47"/>
      <c r="C79" s="48"/>
      <c r="D79" s="49"/>
      <c r="E79" s="3"/>
      <c r="F79" s="48"/>
      <c r="G79" s="48"/>
      <c r="H79" s="48"/>
      <c r="I79" s="51"/>
      <c r="J79" s="52"/>
      <c r="K79" s="52">
        <f t="shared" si="1"/>
        <v>0</v>
      </c>
      <c r="L79" s="36"/>
    </row>
    <row r="80" ht="14.25" customHeight="1">
      <c r="A80" s="46"/>
      <c r="B80" s="47"/>
      <c r="C80" s="48"/>
      <c r="D80" s="49"/>
      <c r="E80" s="3"/>
      <c r="F80" s="48"/>
      <c r="G80" s="48"/>
      <c r="H80" s="48"/>
      <c r="I80" s="51"/>
      <c r="J80" s="52"/>
      <c r="K80" s="52">
        <f t="shared" si="1"/>
        <v>0</v>
      </c>
      <c r="L80" s="36"/>
    </row>
    <row r="81" ht="14.25" customHeight="1">
      <c r="A81" s="46"/>
      <c r="B81" s="47"/>
      <c r="C81" s="48"/>
      <c r="D81" s="49"/>
      <c r="E81" s="3"/>
      <c r="F81" s="48"/>
      <c r="G81" s="48"/>
      <c r="H81" s="48"/>
      <c r="I81" s="51"/>
      <c r="J81" s="52"/>
      <c r="K81" s="52">
        <f t="shared" si="1"/>
        <v>0</v>
      </c>
      <c r="L81" s="36"/>
    </row>
    <row r="82" ht="14.25" customHeight="1">
      <c r="A82" s="46"/>
      <c r="B82" s="47"/>
      <c r="C82" s="48"/>
      <c r="D82" s="49"/>
      <c r="E82" s="3"/>
      <c r="F82" s="48"/>
      <c r="G82" s="48"/>
      <c r="H82" s="48"/>
      <c r="I82" s="51"/>
      <c r="J82" s="52"/>
      <c r="K82" s="52">
        <f t="shared" si="1"/>
        <v>0</v>
      </c>
      <c r="L82" s="36"/>
    </row>
    <row r="83" ht="14.25" customHeight="1">
      <c r="A83" s="46"/>
      <c r="B83" s="47"/>
      <c r="C83" s="48"/>
      <c r="D83" s="49"/>
      <c r="E83" s="3"/>
      <c r="F83" s="48"/>
      <c r="G83" s="48"/>
      <c r="H83" s="48"/>
      <c r="I83" s="51"/>
      <c r="J83" s="52"/>
      <c r="K83" s="52">
        <f t="shared" si="1"/>
        <v>0</v>
      </c>
      <c r="L83" s="36"/>
    </row>
    <row r="84" ht="14.25" customHeight="1">
      <c r="A84" s="46"/>
      <c r="B84" s="47"/>
      <c r="C84" s="48"/>
      <c r="D84" s="49"/>
      <c r="E84" s="3"/>
      <c r="F84" s="48"/>
      <c r="G84" s="48"/>
      <c r="H84" s="48"/>
      <c r="I84" s="51"/>
      <c r="J84" s="52"/>
      <c r="K84" s="52">
        <f t="shared" si="1"/>
        <v>0</v>
      </c>
      <c r="L84" s="36"/>
    </row>
    <row r="85" ht="14.25" customHeight="1">
      <c r="A85" s="46"/>
      <c r="B85" s="47"/>
      <c r="C85" s="48"/>
      <c r="D85" s="49"/>
      <c r="E85" s="3"/>
      <c r="F85" s="48"/>
      <c r="G85" s="48"/>
      <c r="H85" s="48"/>
      <c r="I85" s="51"/>
      <c r="J85" s="52"/>
      <c r="K85" s="52">
        <f t="shared" si="1"/>
        <v>0</v>
      </c>
      <c r="L85" s="36"/>
    </row>
    <row r="86" ht="14.25" customHeight="1">
      <c r="A86" s="46"/>
      <c r="B86" s="47"/>
      <c r="C86" s="48"/>
      <c r="D86" s="49"/>
      <c r="E86" s="3"/>
      <c r="F86" s="48"/>
      <c r="G86" s="48"/>
      <c r="H86" s="48"/>
      <c r="I86" s="51"/>
      <c r="J86" s="52"/>
      <c r="K86" s="52">
        <f t="shared" si="1"/>
        <v>0</v>
      </c>
      <c r="L86" s="36"/>
    </row>
    <row r="87" ht="14.25" customHeight="1">
      <c r="A87" s="46"/>
      <c r="B87" s="47"/>
      <c r="C87" s="48"/>
      <c r="D87" s="49"/>
      <c r="E87" s="3"/>
      <c r="F87" s="48"/>
      <c r="G87" s="48"/>
      <c r="H87" s="48"/>
      <c r="I87" s="51"/>
      <c r="J87" s="52"/>
      <c r="K87" s="52">
        <f t="shared" si="1"/>
        <v>0</v>
      </c>
      <c r="L87" s="36"/>
    </row>
    <row r="88" ht="14.25" customHeight="1">
      <c r="A88" s="46"/>
      <c r="B88" s="47"/>
      <c r="C88" s="48"/>
      <c r="D88" s="49"/>
      <c r="E88" s="3"/>
      <c r="F88" s="48"/>
      <c r="G88" s="48"/>
      <c r="H88" s="48"/>
      <c r="I88" s="51"/>
      <c r="J88" s="52"/>
      <c r="K88" s="52">
        <f t="shared" si="1"/>
        <v>0</v>
      </c>
      <c r="L88" s="36"/>
    </row>
    <row r="89" ht="14.25" customHeight="1">
      <c r="A89" s="46"/>
      <c r="B89" s="47"/>
      <c r="C89" s="48"/>
      <c r="D89" s="49"/>
      <c r="E89" s="3"/>
      <c r="F89" s="48"/>
      <c r="G89" s="48"/>
      <c r="H89" s="48"/>
      <c r="I89" s="51"/>
      <c r="J89" s="52"/>
      <c r="K89" s="52">
        <f t="shared" si="1"/>
        <v>0</v>
      </c>
      <c r="L89" s="36"/>
    </row>
    <row r="90" ht="14.25" customHeight="1">
      <c r="A90" s="46"/>
      <c r="B90" s="47"/>
      <c r="C90" s="48"/>
      <c r="D90" s="49"/>
      <c r="E90" s="3"/>
      <c r="F90" s="48"/>
      <c r="G90" s="48"/>
      <c r="H90" s="48"/>
      <c r="I90" s="51"/>
      <c r="J90" s="52"/>
      <c r="K90" s="52">
        <f t="shared" si="1"/>
        <v>0</v>
      </c>
      <c r="L90" s="36"/>
    </row>
    <row r="91" ht="14.25" customHeight="1">
      <c r="A91" s="46"/>
      <c r="B91" s="47"/>
      <c r="C91" s="48"/>
      <c r="D91" s="49"/>
      <c r="E91" s="3"/>
      <c r="F91" s="48"/>
      <c r="G91" s="48"/>
      <c r="H91" s="48"/>
      <c r="I91" s="51"/>
      <c r="J91" s="52"/>
      <c r="K91" s="52">
        <f t="shared" si="1"/>
        <v>0</v>
      </c>
      <c r="L91" s="36"/>
    </row>
    <row r="92" ht="14.25" customHeight="1">
      <c r="A92" s="46"/>
      <c r="B92" s="47"/>
      <c r="C92" s="48"/>
      <c r="D92" s="49"/>
      <c r="E92" s="3"/>
      <c r="F92" s="48"/>
      <c r="G92" s="48"/>
      <c r="H92" s="48"/>
      <c r="I92" s="51"/>
      <c r="J92" s="52"/>
      <c r="K92" s="52">
        <f t="shared" si="1"/>
        <v>0</v>
      </c>
      <c r="L92" s="36"/>
    </row>
    <row r="93" ht="14.25" customHeight="1">
      <c r="A93" s="46"/>
      <c r="B93" s="47"/>
      <c r="C93" s="48"/>
      <c r="D93" s="49"/>
      <c r="E93" s="3"/>
      <c r="F93" s="48"/>
      <c r="G93" s="48"/>
      <c r="H93" s="48"/>
      <c r="I93" s="51"/>
      <c r="J93" s="52"/>
      <c r="K93" s="52">
        <f t="shared" si="1"/>
        <v>0</v>
      </c>
      <c r="L93" s="36"/>
    </row>
    <row r="94" ht="14.25" customHeight="1">
      <c r="A94" s="46"/>
      <c r="B94" s="47"/>
      <c r="C94" s="48"/>
      <c r="D94" s="49"/>
      <c r="E94" s="3"/>
      <c r="F94" s="48"/>
      <c r="G94" s="48"/>
      <c r="H94" s="48"/>
      <c r="I94" s="51"/>
      <c r="J94" s="52"/>
      <c r="K94" s="52">
        <f t="shared" si="1"/>
        <v>0</v>
      </c>
      <c r="L94" s="36"/>
    </row>
    <row r="95" ht="14.25" customHeight="1">
      <c r="A95" s="46"/>
      <c r="B95" s="47"/>
      <c r="C95" s="48"/>
      <c r="D95" s="49"/>
      <c r="E95" s="3"/>
      <c r="F95" s="48"/>
      <c r="G95" s="48"/>
      <c r="H95" s="48"/>
      <c r="I95" s="51"/>
      <c r="J95" s="52"/>
      <c r="K95" s="52">
        <f t="shared" si="1"/>
        <v>0</v>
      </c>
      <c r="L95" s="36"/>
    </row>
    <row r="96" ht="14.25" customHeight="1">
      <c r="A96" s="46"/>
      <c r="B96" s="47"/>
      <c r="C96" s="48"/>
      <c r="D96" s="49"/>
      <c r="E96" s="3"/>
      <c r="F96" s="48"/>
      <c r="G96" s="48"/>
      <c r="H96" s="48"/>
      <c r="I96" s="51"/>
      <c r="J96" s="52"/>
      <c r="K96" s="52">
        <f t="shared" si="1"/>
        <v>0</v>
      </c>
      <c r="L96" s="36"/>
    </row>
    <row r="97" ht="14.25" customHeight="1">
      <c r="A97" s="46"/>
      <c r="B97" s="47"/>
      <c r="C97" s="48"/>
      <c r="D97" s="49"/>
      <c r="E97" s="3"/>
      <c r="F97" s="48"/>
      <c r="G97" s="48"/>
      <c r="H97" s="48"/>
      <c r="I97" s="51"/>
      <c r="J97" s="52"/>
      <c r="K97" s="52">
        <f t="shared" si="1"/>
        <v>0</v>
      </c>
      <c r="L97" s="36"/>
    </row>
    <row r="98" ht="14.25" customHeight="1">
      <c r="A98" s="46"/>
      <c r="B98" s="47"/>
      <c r="C98" s="48"/>
      <c r="D98" s="49"/>
      <c r="E98" s="3"/>
      <c r="F98" s="48"/>
      <c r="G98" s="48"/>
      <c r="H98" s="48"/>
      <c r="I98" s="51"/>
      <c r="J98" s="52"/>
      <c r="K98" s="52">
        <f t="shared" si="1"/>
        <v>0</v>
      </c>
      <c r="L98" s="36"/>
    </row>
    <row r="99" ht="14.25" customHeight="1">
      <c r="A99" s="46"/>
      <c r="B99" s="47"/>
      <c r="C99" s="48"/>
      <c r="D99" s="49"/>
      <c r="E99" s="3"/>
      <c r="F99" s="48"/>
      <c r="G99" s="48"/>
      <c r="H99" s="48"/>
      <c r="I99" s="51"/>
      <c r="J99" s="52"/>
      <c r="K99" s="52">
        <f t="shared" si="1"/>
        <v>0</v>
      </c>
      <c r="L99" s="36"/>
    </row>
    <row r="100" ht="14.25" customHeight="1">
      <c r="A100" s="46"/>
      <c r="B100" s="47"/>
      <c r="C100" s="48"/>
      <c r="D100" s="49"/>
      <c r="E100" s="3"/>
      <c r="F100" s="48"/>
      <c r="G100" s="48"/>
      <c r="H100" s="48"/>
      <c r="I100" s="51"/>
      <c r="J100" s="52"/>
      <c r="K100" s="52">
        <f t="shared" si="1"/>
        <v>0</v>
      </c>
      <c r="L100" s="36"/>
    </row>
    <row r="101" ht="14.25" customHeight="1">
      <c r="A101" s="46"/>
      <c r="B101" s="47"/>
      <c r="C101" s="48"/>
      <c r="D101" s="49"/>
      <c r="E101" s="3"/>
      <c r="F101" s="48"/>
      <c r="G101" s="48"/>
      <c r="H101" s="48"/>
      <c r="I101" s="51"/>
      <c r="J101" s="52"/>
      <c r="K101" s="52">
        <f t="shared" si="1"/>
        <v>0</v>
      </c>
      <c r="L101" s="36"/>
    </row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1">
    <mergeCell ref="I3:K3"/>
    <mergeCell ref="I4:K4"/>
    <mergeCell ref="I6:K6"/>
    <mergeCell ref="I7:K7"/>
    <mergeCell ref="A1:K1"/>
    <mergeCell ref="A2:K2"/>
    <mergeCell ref="A3:D3"/>
    <mergeCell ref="E3:E4"/>
    <mergeCell ref="F3:H4"/>
    <mergeCell ref="C4:D4"/>
    <mergeCell ref="A5:K5"/>
    <mergeCell ref="A7:B7"/>
    <mergeCell ref="A9:B9"/>
    <mergeCell ref="C9:D9"/>
    <mergeCell ref="A11:B11"/>
    <mergeCell ref="C11:D11"/>
    <mergeCell ref="A13:B13"/>
    <mergeCell ref="C13:D13"/>
    <mergeCell ref="A4:B4"/>
    <mergeCell ref="A6:B6"/>
    <mergeCell ref="C6:D6"/>
    <mergeCell ref="E6:E7"/>
    <mergeCell ref="F6:H7"/>
    <mergeCell ref="C7:D7"/>
    <mergeCell ref="A8:K8"/>
    <mergeCell ref="F9:H9"/>
    <mergeCell ref="I9:K9"/>
    <mergeCell ref="A10:K10"/>
    <mergeCell ref="G11:H11"/>
    <mergeCell ref="J11:K11"/>
    <mergeCell ref="A12:K12"/>
    <mergeCell ref="F13:H13"/>
    <mergeCell ref="I13:K13"/>
    <mergeCell ref="A14:K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96:E9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</mergeCells>
  <dataValidations>
    <dataValidation type="list" allowBlank="1" showErrorMessage="1" sqref="H16:H101">
      <formula1>"On Cash,On Credit"</formula1>
    </dataValidation>
    <dataValidation type="list" allowBlank="1" showErrorMessage="1" sqref="F16:F101">
      <formula1>"Mysore,Bangalore,kerala,Chennai,Mandya,TS,Nagara,pune,Hassan,KR pete"</formula1>
    </dataValidation>
    <dataValidation type="list" allowBlank="1" showErrorMessage="1" sqref="I3 C16:C101">
      <formula1>"Sun Conure,Lutino Cocktail,Whiteface cocktail,Show Budgies,Helicopter Budgies,Normal Budgies,Jumbo Finches,African Birds,Black wing,Rainbow Budgies,Suppliments"</formula1>
    </dataValidation>
    <dataValidation type="list" allowBlank="1" showErrorMessage="1" sqref="G16:G101">
      <formula1>"Paid,Not Paid"</formula1>
    </dataValidation>
  </dataValidations>
  <printOptions/>
  <pageMargins bottom="0.75" footer="0.0" header="0.0" left="0.7" right="0.7" top="0.75"/>
  <pageSetup scale="5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2.43"/>
    <col customWidth="1" min="3" max="3" width="23.57"/>
    <col customWidth="1" min="4" max="4" width="13.0"/>
    <col customWidth="1" min="5" max="5" width="6.43"/>
    <col customWidth="1" min="6" max="6" width="12.71"/>
    <col customWidth="1" min="7" max="7" width="11.29"/>
    <col customWidth="1" min="8" max="8" width="12.14"/>
    <col customWidth="1" min="9" max="10" width="8.71"/>
    <col customWidth="1" min="11" max="11" width="10.86"/>
    <col customWidth="1" min="12" max="12" width="13.29"/>
    <col customWidth="1" min="13" max="13" width="35.29"/>
    <col customWidth="1" min="14" max="25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4.75" customHeight="1">
      <c r="A2" s="5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4"/>
    </row>
    <row r="3" ht="14.25" customHeight="1">
      <c r="A3" s="6" t="s">
        <v>104</v>
      </c>
      <c r="B3" s="2"/>
      <c r="C3" s="2"/>
      <c r="D3" s="3"/>
      <c r="E3" s="7"/>
      <c r="F3" s="8" t="s">
        <v>105</v>
      </c>
      <c r="G3" s="9"/>
      <c r="H3" s="10"/>
      <c r="I3" s="11" t="s">
        <v>106</v>
      </c>
      <c r="J3" s="2"/>
      <c r="K3" s="2"/>
      <c r="L3" s="3"/>
      <c r="M3" s="12"/>
    </row>
    <row r="4" ht="14.25" customHeight="1">
      <c r="A4" s="13" t="s">
        <v>5</v>
      </c>
      <c r="B4" s="61"/>
      <c r="C4" s="62">
        <f>SUM(C7+C6)</f>
        <v>248796</v>
      </c>
      <c r="D4" s="63"/>
      <c r="E4" s="15"/>
      <c r="F4" s="16"/>
      <c r="G4" s="17"/>
      <c r="H4" s="18"/>
      <c r="I4" s="64">
        <f>SUMIF(C13:C39,I3,L13:L39)</f>
        <v>1080</v>
      </c>
      <c r="J4" s="2"/>
      <c r="K4" s="2"/>
      <c r="L4" s="3"/>
      <c r="M4" s="12"/>
    </row>
    <row r="5" ht="14.25" customHeight="1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1"/>
      <c r="M5" s="12"/>
    </row>
    <row r="6" ht="14.25" customHeight="1">
      <c r="A6" s="13" t="s">
        <v>6</v>
      </c>
      <c r="B6" s="3"/>
      <c r="C6" s="64">
        <f>SUMIF(H13:H200, "On Cash",L13:L200)</f>
        <v>31680</v>
      </c>
      <c r="D6" s="3"/>
      <c r="E6" s="7"/>
      <c r="F6" s="8" t="s">
        <v>107</v>
      </c>
      <c r="G6" s="9"/>
      <c r="H6" s="10"/>
      <c r="I6" s="22" t="str">
        <f>I3</f>
        <v>Mix seeds</v>
      </c>
      <c r="J6" s="2"/>
      <c r="K6" s="2"/>
      <c r="L6" s="3"/>
      <c r="M6" s="12"/>
    </row>
    <row r="7" ht="14.25" customHeight="1">
      <c r="A7" s="13" t="s">
        <v>8</v>
      </c>
      <c r="B7" s="3"/>
      <c r="C7" s="64">
        <f>SUMIF(H13:H200, "On Credit",L13:L200)</f>
        <v>217116</v>
      </c>
      <c r="D7" s="3"/>
      <c r="E7" s="15"/>
      <c r="F7" s="16"/>
      <c r="G7" s="17"/>
      <c r="H7" s="18"/>
      <c r="I7" s="65">
        <f>SUMIF(C13:C42,I6,I13:I42)</f>
        <v>12</v>
      </c>
      <c r="J7" s="2"/>
      <c r="K7" s="2"/>
      <c r="L7" s="3"/>
      <c r="M7" s="12"/>
    </row>
    <row r="8" ht="18.0" customHeight="1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12"/>
    </row>
    <row r="9" ht="30.75" customHeight="1">
      <c r="A9" s="13" t="s">
        <v>9</v>
      </c>
      <c r="B9" s="3"/>
      <c r="C9" s="64">
        <f>SUMIF(G13:G200, "Paid",L13:L200)</f>
        <v>248796</v>
      </c>
      <c r="D9" s="3"/>
      <c r="E9" s="25"/>
      <c r="F9" s="13" t="s">
        <v>10</v>
      </c>
      <c r="G9" s="2"/>
      <c r="H9" s="3"/>
      <c r="I9" s="64">
        <f>SUMIF(G13:G40, "Not paid",L13:L40)</f>
        <v>0</v>
      </c>
      <c r="J9" s="2"/>
      <c r="K9" s="2"/>
      <c r="L9" s="3"/>
      <c r="M9" s="12"/>
    </row>
    <row r="10" ht="14.25" customHeight="1">
      <c r="A10" s="6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8"/>
      <c r="M10" s="67"/>
    </row>
    <row r="11" ht="23.25" customHeight="1">
      <c r="A11" s="68" t="s">
        <v>17</v>
      </c>
      <c r="B11" s="68" t="s">
        <v>18</v>
      </c>
      <c r="C11" s="68" t="s">
        <v>19</v>
      </c>
      <c r="D11" s="69" t="s">
        <v>108</v>
      </c>
      <c r="E11" s="10"/>
      <c r="F11" s="70" t="s">
        <v>21</v>
      </c>
      <c r="G11" s="70" t="s">
        <v>22</v>
      </c>
      <c r="H11" s="70" t="s">
        <v>23</v>
      </c>
      <c r="I11" s="71" t="s">
        <v>24</v>
      </c>
      <c r="J11" s="3"/>
      <c r="K11" s="68" t="s">
        <v>25</v>
      </c>
      <c r="L11" s="68" t="s">
        <v>26</v>
      </c>
      <c r="M11" s="72" t="s">
        <v>27</v>
      </c>
    </row>
    <row r="12" ht="23.25" customHeight="1">
      <c r="A12" s="15"/>
      <c r="B12" s="15"/>
      <c r="C12" s="15"/>
      <c r="D12" s="16"/>
      <c r="E12" s="18"/>
      <c r="F12" s="15"/>
      <c r="G12" s="15"/>
      <c r="H12" s="15"/>
      <c r="I12" s="43" t="s">
        <v>109</v>
      </c>
      <c r="J12" s="43" t="s">
        <v>110</v>
      </c>
      <c r="K12" s="15"/>
      <c r="L12" s="15"/>
      <c r="M12" s="15"/>
    </row>
    <row r="13" ht="14.25" customHeight="1">
      <c r="A13" s="46">
        <v>1.0</v>
      </c>
      <c r="B13" s="47">
        <v>45802.0</v>
      </c>
      <c r="C13" s="48" t="s">
        <v>111</v>
      </c>
      <c r="D13" s="49" t="s">
        <v>112</v>
      </c>
      <c r="E13" s="3"/>
      <c r="F13" s="48" t="s">
        <v>30</v>
      </c>
      <c r="G13" s="48" t="s">
        <v>31</v>
      </c>
      <c r="H13" s="48" t="s">
        <v>32</v>
      </c>
      <c r="I13" s="51">
        <v>5.0</v>
      </c>
      <c r="J13" s="51" t="s">
        <v>113</v>
      </c>
      <c r="K13" s="73">
        <v>100.0</v>
      </c>
      <c r="L13" s="52">
        <f>K13*I13</f>
        <v>500</v>
      </c>
      <c r="M13" s="36"/>
    </row>
    <row r="14" ht="14.25" customHeight="1">
      <c r="A14" s="46">
        <v>2.0</v>
      </c>
      <c r="B14" s="47">
        <v>45803.0</v>
      </c>
      <c r="C14" s="48" t="s">
        <v>114</v>
      </c>
      <c r="D14" s="49" t="s">
        <v>115</v>
      </c>
      <c r="E14" s="3"/>
      <c r="F14" s="48" t="s">
        <v>30</v>
      </c>
      <c r="G14" s="48" t="s">
        <v>31</v>
      </c>
      <c r="H14" s="48" t="s">
        <v>32</v>
      </c>
      <c r="I14" s="51">
        <v>200.0</v>
      </c>
      <c r="J14" s="51" t="s">
        <v>116</v>
      </c>
      <c r="K14" s="73">
        <v>1.1</v>
      </c>
      <c r="L14" s="52">
        <f t="shared" ref="L14:L21" si="1">I14*K14</f>
        <v>220</v>
      </c>
      <c r="M14" s="36"/>
    </row>
    <row r="15" ht="14.25" customHeight="1">
      <c r="A15" s="46">
        <v>3.0</v>
      </c>
      <c r="B15" s="47">
        <v>45809.0</v>
      </c>
      <c r="C15" s="50" t="s">
        <v>117</v>
      </c>
      <c r="D15" s="58" t="s">
        <v>118</v>
      </c>
      <c r="E15" s="3"/>
      <c r="F15" s="48" t="s">
        <v>30</v>
      </c>
      <c r="G15" s="48" t="s">
        <v>31</v>
      </c>
      <c r="H15" s="48" t="s">
        <v>32</v>
      </c>
      <c r="I15" s="51">
        <v>1.0</v>
      </c>
      <c r="J15" s="51" t="s">
        <v>113</v>
      </c>
      <c r="K15" s="73">
        <v>130.0</v>
      </c>
      <c r="L15" s="52">
        <f t="shared" si="1"/>
        <v>130</v>
      </c>
      <c r="M15" s="36"/>
    </row>
    <row r="16" ht="14.25" customHeight="1">
      <c r="A16" s="46">
        <v>4.0</v>
      </c>
      <c r="B16" s="47">
        <v>45810.0</v>
      </c>
      <c r="C16" s="48" t="s">
        <v>106</v>
      </c>
      <c r="D16" s="49" t="s">
        <v>112</v>
      </c>
      <c r="E16" s="3"/>
      <c r="F16" s="48" t="s">
        <v>30</v>
      </c>
      <c r="G16" s="48" t="s">
        <v>31</v>
      </c>
      <c r="H16" s="48" t="s">
        <v>32</v>
      </c>
      <c r="I16" s="51">
        <v>7.0</v>
      </c>
      <c r="J16" s="51" t="s">
        <v>113</v>
      </c>
      <c r="K16" s="73">
        <v>90.0</v>
      </c>
      <c r="L16" s="52">
        <f t="shared" si="1"/>
        <v>630</v>
      </c>
      <c r="M16" s="36"/>
    </row>
    <row r="17" ht="14.25" customHeight="1">
      <c r="A17" s="54">
        <v>5.0</v>
      </c>
      <c r="B17" s="55">
        <v>45816.0</v>
      </c>
      <c r="C17" s="50" t="s">
        <v>119</v>
      </c>
      <c r="D17" s="58" t="s">
        <v>34</v>
      </c>
      <c r="E17" s="3"/>
      <c r="F17" s="50" t="s">
        <v>30</v>
      </c>
      <c r="G17" s="50" t="s">
        <v>31</v>
      </c>
      <c r="H17" s="50" t="s">
        <v>32</v>
      </c>
      <c r="I17" s="56">
        <v>4.0</v>
      </c>
      <c r="J17" s="56" t="s">
        <v>120</v>
      </c>
      <c r="K17" s="74">
        <v>575.0</v>
      </c>
      <c r="L17" s="52">
        <f t="shared" si="1"/>
        <v>2300</v>
      </c>
      <c r="M17" s="53" t="s">
        <v>121</v>
      </c>
    </row>
    <row r="18" ht="14.25" customHeight="1">
      <c r="A18" s="54">
        <v>6.0</v>
      </c>
      <c r="B18" s="55">
        <v>45822.0</v>
      </c>
      <c r="C18" s="50" t="s">
        <v>122</v>
      </c>
      <c r="D18" s="58" t="s">
        <v>118</v>
      </c>
      <c r="E18" s="3"/>
      <c r="F18" s="50" t="s">
        <v>30</v>
      </c>
      <c r="G18" s="50" t="s">
        <v>31</v>
      </c>
      <c r="H18" s="50" t="s">
        <v>32</v>
      </c>
      <c r="I18" s="56">
        <v>1.0</v>
      </c>
      <c r="J18" s="56" t="s">
        <v>120</v>
      </c>
      <c r="K18" s="74">
        <v>2000.0</v>
      </c>
      <c r="L18" s="52">
        <f t="shared" si="1"/>
        <v>2000</v>
      </c>
      <c r="M18" s="53" t="s">
        <v>123</v>
      </c>
    </row>
    <row r="19" ht="14.25" customHeight="1">
      <c r="A19" s="54">
        <v>7.0</v>
      </c>
      <c r="B19" s="55">
        <v>45822.0</v>
      </c>
      <c r="C19" s="50" t="s">
        <v>124</v>
      </c>
      <c r="D19" s="58" t="s">
        <v>125</v>
      </c>
      <c r="E19" s="3"/>
      <c r="F19" s="50" t="s">
        <v>30</v>
      </c>
      <c r="G19" s="50" t="s">
        <v>31</v>
      </c>
      <c r="H19" s="50" t="s">
        <v>32</v>
      </c>
      <c r="I19" s="56">
        <v>1.0</v>
      </c>
      <c r="J19" s="56" t="s">
        <v>120</v>
      </c>
      <c r="K19" s="74">
        <v>150.0</v>
      </c>
      <c r="L19" s="52">
        <f t="shared" si="1"/>
        <v>150</v>
      </c>
      <c r="M19" s="53" t="s">
        <v>126</v>
      </c>
    </row>
    <row r="20" ht="14.25" customHeight="1">
      <c r="A20" s="54">
        <v>8.0</v>
      </c>
      <c r="B20" s="55">
        <v>45824.0</v>
      </c>
      <c r="C20" s="50" t="s">
        <v>127</v>
      </c>
      <c r="D20" s="58" t="s">
        <v>128</v>
      </c>
      <c r="E20" s="3"/>
      <c r="F20" s="50" t="s">
        <v>49</v>
      </c>
      <c r="G20" s="50" t="s">
        <v>31</v>
      </c>
      <c r="H20" s="50" t="s">
        <v>32</v>
      </c>
      <c r="I20" s="56">
        <v>10.0</v>
      </c>
      <c r="J20" s="56" t="s">
        <v>120</v>
      </c>
      <c r="K20" s="74">
        <v>100.0</v>
      </c>
      <c r="L20" s="52">
        <f t="shared" si="1"/>
        <v>1000</v>
      </c>
      <c r="M20" s="53" t="s">
        <v>129</v>
      </c>
    </row>
    <row r="21" ht="14.25" customHeight="1">
      <c r="A21" s="54">
        <v>9.0</v>
      </c>
      <c r="B21" s="55">
        <v>45824.0</v>
      </c>
      <c r="C21" s="50" t="s">
        <v>130</v>
      </c>
      <c r="D21" s="58" t="s">
        <v>131</v>
      </c>
      <c r="E21" s="3"/>
      <c r="F21" s="50" t="s">
        <v>30</v>
      </c>
      <c r="G21" s="50" t="s">
        <v>31</v>
      </c>
      <c r="H21" s="50" t="s">
        <v>32</v>
      </c>
      <c r="I21" s="56">
        <v>1.0</v>
      </c>
      <c r="J21" s="56" t="s">
        <v>120</v>
      </c>
      <c r="K21" s="74">
        <v>150.0</v>
      </c>
      <c r="L21" s="52">
        <f t="shared" si="1"/>
        <v>150</v>
      </c>
      <c r="M21" s="53" t="s">
        <v>132</v>
      </c>
    </row>
    <row r="22" ht="14.25" customHeight="1">
      <c r="A22" s="54">
        <v>10.0</v>
      </c>
      <c r="B22" s="55">
        <v>45833.0</v>
      </c>
      <c r="C22" s="50" t="s">
        <v>133</v>
      </c>
      <c r="D22" s="58" t="s">
        <v>34</v>
      </c>
      <c r="E22" s="3"/>
      <c r="F22" s="50" t="s">
        <v>30</v>
      </c>
      <c r="G22" s="50" t="s">
        <v>31</v>
      </c>
      <c r="H22" s="50" t="s">
        <v>32</v>
      </c>
      <c r="I22" s="56">
        <v>4.0</v>
      </c>
      <c r="J22" s="56" t="s">
        <v>120</v>
      </c>
      <c r="K22" s="73">
        <f>L22/I22</f>
        <v>112.5</v>
      </c>
      <c r="L22" s="57">
        <v>450.0</v>
      </c>
      <c r="M22" s="36"/>
    </row>
    <row r="23" ht="14.25" customHeight="1">
      <c r="A23" s="54">
        <v>11.0</v>
      </c>
      <c r="B23" s="55">
        <v>45837.0</v>
      </c>
      <c r="C23" s="50" t="s">
        <v>124</v>
      </c>
      <c r="D23" s="58" t="s">
        <v>134</v>
      </c>
      <c r="E23" s="3"/>
      <c r="F23" s="50" t="s">
        <v>30</v>
      </c>
      <c r="G23" s="50" t="s">
        <v>31</v>
      </c>
      <c r="H23" s="50" t="s">
        <v>32</v>
      </c>
      <c r="I23" s="56">
        <v>1.0</v>
      </c>
      <c r="J23" s="56" t="s">
        <v>120</v>
      </c>
      <c r="K23" s="74">
        <v>110.0</v>
      </c>
      <c r="L23" s="57">
        <v>110.0</v>
      </c>
      <c r="M23" s="53" t="s">
        <v>77</v>
      </c>
    </row>
    <row r="24" ht="14.25" customHeight="1">
      <c r="A24" s="54">
        <v>12.0</v>
      </c>
      <c r="B24" s="55">
        <v>45837.0</v>
      </c>
      <c r="C24" s="50" t="s">
        <v>135</v>
      </c>
      <c r="D24" s="58" t="s">
        <v>134</v>
      </c>
      <c r="E24" s="3"/>
      <c r="F24" s="50" t="s">
        <v>30</v>
      </c>
      <c r="G24" s="50" t="s">
        <v>31</v>
      </c>
      <c r="H24" s="50" t="s">
        <v>32</v>
      </c>
      <c r="I24" s="56">
        <v>1.0</v>
      </c>
      <c r="J24" s="56" t="s">
        <v>120</v>
      </c>
      <c r="K24" s="74">
        <v>150.0</v>
      </c>
      <c r="L24" s="52">
        <f t="shared" ref="L24:L42" si="2">I24*K24</f>
        <v>150</v>
      </c>
      <c r="M24" s="36"/>
    </row>
    <row r="25" ht="14.25" customHeight="1">
      <c r="A25" s="54">
        <v>13.0</v>
      </c>
      <c r="B25" s="55">
        <v>45840.0</v>
      </c>
      <c r="C25" s="50" t="s">
        <v>119</v>
      </c>
      <c r="D25" s="58" t="s">
        <v>136</v>
      </c>
      <c r="E25" s="3"/>
      <c r="F25" s="50" t="s">
        <v>49</v>
      </c>
      <c r="G25" s="50" t="s">
        <v>31</v>
      </c>
      <c r="H25" s="50" t="s">
        <v>32</v>
      </c>
      <c r="I25" s="56">
        <v>4.0</v>
      </c>
      <c r="J25" s="56" t="s">
        <v>120</v>
      </c>
      <c r="K25" s="74">
        <v>1250.0</v>
      </c>
      <c r="L25" s="52">
        <f t="shared" si="2"/>
        <v>5000</v>
      </c>
      <c r="M25" s="53" t="s">
        <v>137</v>
      </c>
    </row>
    <row r="26" ht="14.25" customHeight="1">
      <c r="A26" s="54">
        <v>14.0</v>
      </c>
      <c r="B26" s="55">
        <v>45842.0</v>
      </c>
      <c r="C26" s="50" t="s">
        <v>119</v>
      </c>
      <c r="D26" s="58" t="s">
        <v>35</v>
      </c>
      <c r="E26" s="3"/>
      <c r="F26" s="50" t="s">
        <v>30</v>
      </c>
      <c r="G26" s="50" t="s">
        <v>31</v>
      </c>
      <c r="H26" s="50" t="s">
        <v>32</v>
      </c>
      <c r="I26" s="56">
        <v>1.0</v>
      </c>
      <c r="J26" s="56" t="s">
        <v>120</v>
      </c>
      <c r="K26" s="74">
        <v>1100.0</v>
      </c>
      <c r="L26" s="52">
        <f t="shared" si="2"/>
        <v>1100</v>
      </c>
      <c r="M26" s="53" t="s">
        <v>138</v>
      </c>
    </row>
    <row r="27" ht="14.25" customHeight="1">
      <c r="A27" s="54">
        <v>15.0</v>
      </c>
      <c r="B27" s="55">
        <v>45844.0</v>
      </c>
      <c r="C27" s="50" t="s">
        <v>119</v>
      </c>
      <c r="D27" s="58" t="s">
        <v>139</v>
      </c>
      <c r="E27" s="3"/>
      <c r="F27" s="50" t="s">
        <v>30</v>
      </c>
      <c r="G27" s="50" t="s">
        <v>31</v>
      </c>
      <c r="H27" s="50" t="s">
        <v>32</v>
      </c>
      <c r="I27" s="56">
        <v>2.0</v>
      </c>
      <c r="J27" s="56" t="s">
        <v>120</v>
      </c>
      <c r="K27" s="74">
        <v>1100.0</v>
      </c>
      <c r="L27" s="52">
        <f t="shared" si="2"/>
        <v>2200</v>
      </c>
      <c r="M27" s="53" t="s">
        <v>140</v>
      </c>
    </row>
    <row r="28" ht="14.25" customHeight="1">
      <c r="A28" s="54">
        <v>16.0</v>
      </c>
      <c r="B28" s="55">
        <v>45844.0</v>
      </c>
      <c r="C28" s="50" t="s">
        <v>124</v>
      </c>
      <c r="D28" s="58" t="s">
        <v>141</v>
      </c>
      <c r="E28" s="3"/>
      <c r="F28" s="50" t="s">
        <v>142</v>
      </c>
      <c r="G28" s="50" t="s">
        <v>31</v>
      </c>
      <c r="H28" s="50" t="s">
        <v>32</v>
      </c>
      <c r="I28" s="56">
        <v>6.0</v>
      </c>
      <c r="J28" s="56" t="s">
        <v>120</v>
      </c>
      <c r="K28" s="74">
        <v>110.0</v>
      </c>
      <c r="L28" s="52">
        <f t="shared" si="2"/>
        <v>660</v>
      </c>
      <c r="M28" s="53" t="s">
        <v>143</v>
      </c>
    </row>
    <row r="29" ht="14.25" customHeight="1">
      <c r="A29" s="54">
        <v>17.0</v>
      </c>
      <c r="B29" s="55">
        <v>45853.0</v>
      </c>
      <c r="C29" s="50" t="s">
        <v>119</v>
      </c>
      <c r="D29" s="58" t="s">
        <v>144</v>
      </c>
      <c r="E29" s="3"/>
      <c r="F29" s="50" t="s">
        <v>49</v>
      </c>
      <c r="G29" s="50" t="s">
        <v>31</v>
      </c>
      <c r="H29" s="50" t="s">
        <v>32</v>
      </c>
      <c r="I29" s="56">
        <v>2.0</v>
      </c>
      <c r="J29" s="56" t="s">
        <v>120</v>
      </c>
      <c r="K29" s="74">
        <v>1150.0</v>
      </c>
      <c r="L29" s="52">
        <f t="shared" si="2"/>
        <v>2300</v>
      </c>
      <c r="M29" s="53" t="s">
        <v>145</v>
      </c>
    </row>
    <row r="30" ht="14.25" customHeight="1">
      <c r="A30" s="54">
        <v>18.0</v>
      </c>
      <c r="B30" s="55">
        <v>45856.0</v>
      </c>
      <c r="C30" s="50" t="s">
        <v>117</v>
      </c>
      <c r="D30" s="58" t="s">
        <v>136</v>
      </c>
      <c r="E30" s="3"/>
      <c r="F30" s="50" t="s">
        <v>49</v>
      </c>
      <c r="G30" s="50" t="s">
        <v>31</v>
      </c>
      <c r="H30" s="50" t="s">
        <v>32</v>
      </c>
      <c r="I30" s="56">
        <v>1.0</v>
      </c>
      <c r="J30" s="56" t="s">
        <v>113</v>
      </c>
      <c r="K30" s="74">
        <v>540.0</v>
      </c>
      <c r="L30" s="52">
        <f t="shared" si="2"/>
        <v>540</v>
      </c>
      <c r="M30" s="53" t="s">
        <v>146</v>
      </c>
    </row>
    <row r="31" ht="14.25" customHeight="1">
      <c r="A31" s="54">
        <v>19.0</v>
      </c>
      <c r="B31" s="55">
        <v>45857.0</v>
      </c>
      <c r="C31" s="50" t="s">
        <v>119</v>
      </c>
      <c r="D31" s="58" t="s">
        <v>35</v>
      </c>
      <c r="E31" s="3"/>
      <c r="F31" s="50" t="s">
        <v>30</v>
      </c>
      <c r="G31" s="50" t="s">
        <v>31</v>
      </c>
      <c r="H31" s="50" t="s">
        <v>32</v>
      </c>
      <c r="I31" s="56">
        <v>1.0</v>
      </c>
      <c r="J31" s="56" t="s">
        <v>120</v>
      </c>
      <c r="K31" s="74">
        <v>1400.0</v>
      </c>
      <c r="L31" s="52">
        <f t="shared" si="2"/>
        <v>1400</v>
      </c>
      <c r="M31" s="53" t="s">
        <v>147</v>
      </c>
    </row>
    <row r="32" ht="14.25" customHeight="1">
      <c r="A32" s="54">
        <v>20.0</v>
      </c>
      <c r="B32" s="55">
        <v>45860.0</v>
      </c>
      <c r="C32" s="50" t="s">
        <v>117</v>
      </c>
      <c r="D32" s="58" t="s">
        <v>148</v>
      </c>
      <c r="E32" s="3"/>
      <c r="F32" s="50" t="s">
        <v>30</v>
      </c>
      <c r="G32" s="50" t="s">
        <v>31</v>
      </c>
      <c r="H32" s="50" t="s">
        <v>32</v>
      </c>
      <c r="I32" s="56">
        <v>50.0</v>
      </c>
      <c r="J32" s="56" t="s">
        <v>113</v>
      </c>
      <c r="K32" s="74">
        <v>34.0</v>
      </c>
      <c r="L32" s="52">
        <f t="shared" si="2"/>
        <v>1700</v>
      </c>
      <c r="M32" s="53" t="s">
        <v>149</v>
      </c>
    </row>
    <row r="33" ht="14.25" customHeight="1">
      <c r="A33" s="54">
        <v>21.0</v>
      </c>
      <c r="B33" s="55">
        <v>45860.0</v>
      </c>
      <c r="C33" s="50" t="s">
        <v>106</v>
      </c>
      <c r="D33" s="58" t="s">
        <v>148</v>
      </c>
      <c r="E33" s="3"/>
      <c r="F33" s="50" t="s">
        <v>30</v>
      </c>
      <c r="G33" s="50" t="s">
        <v>31</v>
      </c>
      <c r="H33" s="50" t="s">
        <v>32</v>
      </c>
      <c r="I33" s="56">
        <v>5.0</v>
      </c>
      <c r="J33" s="56" t="s">
        <v>113</v>
      </c>
      <c r="K33" s="74">
        <v>90.0</v>
      </c>
      <c r="L33" s="52">
        <f t="shared" si="2"/>
        <v>450</v>
      </c>
      <c r="M33" s="36"/>
    </row>
    <row r="34" ht="14.25" customHeight="1">
      <c r="A34" s="54">
        <v>22.0</v>
      </c>
      <c r="B34" s="55">
        <v>45862.0</v>
      </c>
      <c r="C34" s="50" t="s">
        <v>119</v>
      </c>
      <c r="D34" s="58" t="s">
        <v>150</v>
      </c>
      <c r="E34" s="3"/>
      <c r="F34" s="50" t="s">
        <v>49</v>
      </c>
      <c r="G34" s="50" t="s">
        <v>31</v>
      </c>
      <c r="H34" s="50" t="s">
        <v>32</v>
      </c>
      <c r="I34" s="56">
        <v>2.0</v>
      </c>
      <c r="J34" s="56" t="s">
        <v>120</v>
      </c>
      <c r="K34" s="74">
        <v>850.0</v>
      </c>
      <c r="L34" s="52">
        <f t="shared" si="2"/>
        <v>1700</v>
      </c>
      <c r="M34" s="53" t="s">
        <v>151</v>
      </c>
    </row>
    <row r="35" ht="14.25" customHeight="1">
      <c r="A35" s="54">
        <v>23.0</v>
      </c>
      <c r="B35" s="55">
        <v>45862.0</v>
      </c>
      <c r="C35" s="50" t="s">
        <v>130</v>
      </c>
      <c r="D35" s="58" t="s">
        <v>134</v>
      </c>
      <c r="E35" s="3"/>
      <c r="F35" s="50" t="s">
        <v>30</v>
      </c>
      <c r="G35" s="50" t="s">
        <v>31</v>
      </c>
      <c r="H35" s="50" t="s">
        <v>32</v>
      </c>
      <c r="I35" s="56">
        <v>1.0</v>
      </c>
      <c r="J35" s="56" t="s">
        <v>113</v>
      </c>
      <c r="K35" s="74">
        <v>560.0</v>
      </c>
      <c r="L35" s="52">
        <f t="shared" si="2"/>
        <v>560</v>
      </c>
      <c r="M35" s="53" t="s">
        <v>152</v>
      </c>
    </row>
    <row r="36" ht="14.25" customHeight="1">
      <c r="A36" s="54">
        <v>24.0</v>
      </c>
      <c r="B36" s="55">
        <v>45877.0</v>
      </c>
      <c r="C36" s="50" t="s">
        <v>153</v>
      </c>
      <c r="D36" s="58" t="s">
        <v>154</v>
      </c>
      <c r="E36" s="3"/>
      <c r="F36" s="50" t="s">
        <v>155</v>
      </c>
      <c r="G36" s="50" t="s">
        <v>31</v>
      </c>
      <c r="H36" s="50" t="s">
        <v>32</v>
      </c>
      <c r="I36" s="56">
        <v>2.0</v>
      </c>
      <c r="J36" s="56" t="s">
        <v>120</v>
      </c>
      <c r="K36" s="74">
        <v>8000.0</v>
      </c>
      <c r="L36" s="52">
        <f t="shared" si="2"/>
        <v>16000</v>
      </c>
      <c r="M36" s="53" t="s">
        <v>156</v>
      </c>
    </row>
    <row r="37" ht="14.25" customHeight="1">
      <c r="A37" s="54">
        <v>25.0</v>
      </c>
      <c r="B37" s="55">
        <v>45877.0</v>
      </c>
      <c r="C37" s="50" t="s">
        <v>119</v>
      </c>
      <c r="D37" s="58" t="s">
        <v>157</v>
      </c>
      <c r="E37" s="3"/>
      <c r="F37" s="50" t="s">
        <v>155</v>
      </c>
      <c r="G37" s="50" t="s">
        <v>31</v>
      </c>
      <c r="H37" s="50" t="s">
        <v>32</v>
      </c>
      <c r="I37" s="56">
        <v>1.0</v>
      </c>
      <c r="J37" s="56" t="s">
        <v>120</v>
      </c>
      <c r="K37" s="74">
        <v>4000.0</v>
      </c>
      <c r="L37" s="52">
        <f t="shared" si="2"/>
        <v>4000</v>
      </c>
      <c r="M37" s="53" t="s">
        <v>156</v>
      </c>
    </row>
    <row r="38" ht="14.25" customHeight="1">
      <c r="A38" s="54">
        <v>26.0</v>
      </c>
      <c r="B38" s="55">
        <v>45877.0</v>
      </c>
      <c r="C38" s="50" t="s">
        <v>119</v>
      </c>
      <c r="D38" s="58" t="s">
        <v>157</v>
      </c>
      <c r="E38" s="3"/>
      <c r="F38" s="50" t="s">
        <v>155</v>
      </c>
      <c r="G38" s="50" t="s">
        <v>31</v>
      </c>
      <c r="H38" s="50" t="s">
        <v>32</v>
      </c>
      <c r="I38" s="56">
        <v>16.0</v>
      </c>
      <c r="J38" s="56" t="s">
        <v>120</v>
      </c>
      <c r="K38" s="74">
        <v>735.0</v>
      </c>
      <c r="L38" s="52">
        <f t="shared" si="2"/>
        <v>11760</v>
      </c>
      <c r="M38" s="53" t="s">
        <v>158</v>
      </c>
    </row>
    <row r="39" ht="14.25" customHeight="1">
      <c r="A39" s="54">
        <v>27.0</v>
      </c>
      <c r="B39" s="55">
        <v>45876.0</v>
      </c>
      <c r="C39" s="50" t="s">
        <v>119</v>
      </c>
      <c r="D39" s="58" t="s">
        <v>54</v>
      </c>
      <c r="E39" s="3"/>
      <c r="F39" s="50" t="s">
        <v>49</v>
      </c>
      <c r="G39" s="50" t="s">
        <v>31</v>
      </c>
      <c r="H39" s="50" t="s">
        <v>32</v>
      </c>
      <c r="I39" s="56">
        <v>2.0</v>
      </c>
      <c r="J39" s="56" t="s">
        <v>120</v>
      </c>
      <c r="K39" s="74">
        <v>1150.0</v>
      </c>
      <c r="L39" s="52">
        <f t="shared" si="2"/>
        <v>2300</v>
      </c>
      <c r="M39" s="36"/>
    </row>
    <row r="40" ht="14.25" customHeight="1">
      <c r="A40" s="54">
        <v>28.0</v>
      </c>
      <c r="B40" s="55">
        <v>45873.0</v>
      </c>
      <c r="C40" s="50" t="s">
        <v>119</v>
      </c>
      <c r="D40" s="58" t="s">
        <v>159</v>
      </c>
      <c r="E40" s="3"/>
      <c r="F40" s="50" t="s">
        <v>30</v>
      </c>
      <c r="G40" s="50" t="s">
        <v>31</v>
      </c>
      <c r="H40" s="50" t="s">
        <v>32</v>
      </c>
      <c r="I40" s="56">
        <v>2.0</v>
      </c>
      <c r="J40" s="56" t="s">
        <v>120</v>
      </c>
      <c r="K40" s="74">
        <v>900.0</v>
      </c>
      <c r="L40" s="52">
        <f t="shared" si="2"/>
        <v>1800</v>
      </c>
      <c r="M40" s="53" t="s">
        <v>160</v>
      </c>
    </row>
    <row r="41" ht="14.25" customHeight="1">
      <c r="A41" s="54">
        <v>29.0</v>
      </c>
      <c r="B41" s="55">
        <v>45875.0</v>
      </c>
      <c r="C41" s="50" t="s">
        <v>119</v>
      </c>
      <c r="D41" s="58" t="s">
        <v>159</v>
      </c>
      <c r="E41" s="3"/>
      <c r="F41" s="50" t="s">
        <v>30</v>
      </c>
      <c r="G41" s="50" t="s">
        <v>31</v>
      </c>
      <c r="H41" s="50" t="s">
        <v>32</v>
      </c>
      <c r="I41" s="56">
        <v>8.0</v>
      </c>
      <c r="J41" s="56" t="s">
        <v>120</v>
      </c>
      <c r="K41" s="74">
        <v>1000.0</v>
      </c>
      <c r="L41" s="52">
        <f t="shared" si="2"/>
        <v>8000</v>
      </c>
      <c r="M41" s="53" t="s">
        <v>161</v>
      </c>
    </row>
    <row r="42" ht="14.25" customHeight="1">
      <c r="A42" s="54">
        <v>30.0</v>
      </c>
      <c r="B42" s="55">
        <v>45875.0</v>
      </c>
      <c r="C42" s="50" t="s">
        <v>124</v>
      </c>
      <c r="D42" s="58" t="s">
        <v>162</v>
      </c>
      <c r="E42" s="3"/>
      <c r="F42" s="50" t="s">
        <v>142</v>
      </c>
      <c r="G42" s="50" t="s">
        <v>31</v>
      </c>
      <c r="H42" s="50" t="s">
        <v>32</v>
      </c>
      <c r="I42" s="56">
        <v>2.0</v>
      </c>
      <c r="J42" s="56" t="s">
        <v>120</v>
      </c>
      <c r="K42" s="74">
        <v>550.0</v>
      </c>
      <c r="L42" s="52">
        <f t="shared" si="2"/>
        <v>1100</v>
      </c>
      <c r="M42" s="53" t="s">
        <v>74</v>
      </c>
    </row>
    <row r="43" ht="14.25" customHeight="1">
      <c r="A43" s="54">
        <v>31.0</v>
      </c>
      <c r="B43" s="55">
        <v>45892.0</v>
      </c>
      <c r="C43" s="50" t="s">
        <v>163</v>
      </c>
      <c r="D43" s="58" t="s">
        <v>164</v>
      </c>
      <c r="E43" s="3"/>
      <c r="F43" s="50" t="s">
        <v>30</v>
      </c>
      <c r="G43" s="50" t="s">
        <v>31</v>
      </c>
      <c r="H43" s="50" t="s">
        <v>32</v>
      </c>
      <c r="I43" s="56">
        <v>1.0</v>
      </c>
      <c r="J43" s="56" t="s">
        <v>116</v>
      </c>
      <c r="K43" s="74">
        <v>100.0</v>
      </c>
      <c r="L43" s="57">
        <v>100.0</v>
      </c>
      <c r="M43" s="53"/>
    </row>
    <row r="44" ht="14.25" customHeight="1">
      <c r="A44" s="54">
        <v>32.0</v>
      </c>
      <c r="B44" s="55">
        <v>45895.0</v>
      </c>
      <c r="C44" s="50" t="s">
        <v>119</v>
      </c>
      <c r="D44" s="58" t="s">
        <v>165</v>
      </c>
      <c r="E44" s="3"/>
      <c r="F44" s="50" t="s">
        <v>142</v>
      </c>
      <c r="G44" s="50" t="s">
        <v>31</v>
      </c>
      <c r="H44" s="50" t="s">
        <v>32</v>
      </c>
      <c r="I44" s="56">
        <v>4.0</v>
      </c>
      <c r="J44" s="56" t="s">
        <v>120</v>
      </c>
      <c r="K44" s="74">
        <v>1500.0</v>
      </c>
      <c r="L44" s="52">
        <f t="shared" ref="L44:L48" si="3">I44*K44</f>
        <v>6000</v>
      </c>
      <c r="M44" s="53" t="s">
        <v>166</v>
      </c>
    </row>
    <row r="45" ht="14.25" customHeight="1">
      <c r="A45" s="54">
        <v>33.0</v>
      </c>
      <c r="B45" s="55">
        <v>45895.0</v>
      </c>
      <c r="C45" s="50" t="s">
        <v>119</v>
      </c>
      <c r="D45" s="58" t="s">
        <v>167</v>
      </c>
      <c r="E45" s="3"/>
      <c r="F45" s="50" t="s">
        <v>30</v>
      </c>
      <c r="G45" s="50" t="s">
        <v>31</v>
      </c>
      <c r="H45" s="50" t="s">
        <v>32</v>
      </c>
      <c r="I45" s="56">
        <v>3.0</v>
      </c>
      <c r="J45" s="56" t="s">
        <v>120</v>
      </c>
      <c r="K45" s="74">
        <v>500.0</v>
      </c>
      <c r="L45" s="52">
        <f t="shared" si="3"/>
        <v>1500</v>
      </c>
      <c r="M45" s="53" t="s">
        <v>168</v>
      </c>
    </row>
    <row r="46" ht="14.25" customHeight="1">
      <c r="A46" s="54">
        <v>34.0</v>
      </c>
      <c r="B46" s="55">
        <v>45895.0</v>
      </c>
      <c r="C46" s="50" t="s">
        <v>130</v>
      </c>
      <c r="D46" s="58" t="s">
        <v>169</v>
      </c>
      <c r="E46" s="3"/>
      <c r="F46" s="50" t="s">
        <v>30</v>
      </c>
      <c r="G46" s="50" t="s">
        <v>31</v>
      </c>
      <c r="H46" s="50" t="s">
        <v>32</v>
      </c>
      <c r="I46" s="56">
        <v>1.0</v>
      </c>
      <c r="J46" s="56" t="s">
        <v>120</v>
      </c>
      <c r="K46" s="74">
        <v>600.0</v>
      </c>
      <c r="L46" s="52">
        <f t="shared" si="3"/>
        <v>600</v>
      </c>
      <c r="M46" s="53" t="s">
        <v>170</v>
      </c>
    </row>
    <row r="47" ht="14.25" customHeight="1">
      <c r="A47" s="54">
        <v>35.0</v>
      </c>
      <c r="B47" s="55">
        <v>45895.0</v>
      </c>
      <c r="C47" s="50" t="s">
        <v>133</v>
      </c>
      <c r="D47" s="58" t="s">
        <v>171</v>
      </c>
      <c r="E47" s="3"/>
      <c r="F47" s="50" t="s">
        <v>30</v>
      </c>
      <c r="G47" s="50" t="s">
        <v>31</v>
      </c>
      <c r="H47" s="50" t="s">
        <v>32</v>
      </c>
      <c r="I47" s="56">
        <v>13.0</v>
      </c>
      <c r="J47" s="56" t="s">
        <v>120</v>
      </c>
      <c r="K47" s="74">
        <v>150.0</v>
      </c>
      <c r="L47" s="52">
        <f t="shared" si="3"/>
        <v>1950</v>
      </c>
      <c r="M47" s="53" t="s">
        <v>172</v>
      </c>
    </row>
    <row r="48" ht="14.25" customHeight="1">
      <c r="A48" s="54">
        <v>36.0</v>
      </c>
      <c r="B48" s="55">
        <v>45891.0</v>
      </c>
      <c r="C48" s="50" t="s">
        <v>117</v>
      </c>
      <c r="D48" s="58" t="s">
        <v>173</v>
      </c>
      <c r="E48" s="3"/>
      <c r="F48" s="50" t="s">
        <v>30</v>
      </c>
      <c r="G48" s="50" t="s">
        <v>31</v>
      </c>
      <c r="H48" s="50" t="s">
        <v>68</v>
      </c>
      <c r="I48" s="56">
        <v>2.0</v>
      </c>
      <c r="J48" s="56" t="s">
        <v>113</v>
      </c>
      <c r="K48" s="74">
        <v>90.0</v>
      </c>
      <c r="L48" s="52">
        <f t="shared" si="3"/>
        <v>180</v>
      </c>
      <c r="M48" s="53" t="s">
        <v>174</v>
      </c>
    </row>
    <row r="49" ht="14.25" customHeight="1">
      <c r="A49" s="54">
        <v>37.0</v>
      </c>
      <c r="B49" s="55">
        <v>45914.0</v>
      </c>
      <c r="C49" s="50" t="s">
        <v>127</v>
      </c>
      <c r="D49" s="58" t="s">
        <v>128</v>
      </c>
      <c r="E49" s="3"/>
      <c r="F49" s="50" t="s">
        <v>175</v>
      </c>
      <c r="G49" s="50" t="s">
        <v>31</v>
      </c>
      <c r="H49" s="50" t="s">
        <v>32</v>
      </c>
      <c r="I49" s="56">
        <v>7.0</v>
      </c>
      <c r="J49" s="56" t="s">
        <v>120</v>
      </c>
      <c r="K49" s="74">
        <v>127.0</v>
      </c>
      <c r="L49" s="57">
        <v>890.0</v>
      </c>
      <c r="M49" s="53" t="s">
        <v>176</v>
      </c>
    </row>
    <row r="50" ht="14.25" customHeight="1">
      <c r="A50" s="54">
        <v>39.0</v>
      </c>
      <c r="B50" s="55">
        <v>45914.0</v>
      </c>
      <c r="C50" s="50" t="s">
        <v>119</v>
      </c>
      <c r="D50" s="58" t="s">
        <v>41</v>
      </c>
      <c r="E50" s="3"/>
      <c r="F50" s="50" t="s">
        <v>49</v>
      </c>
      <c r="G50" s="50" t="s">
        <v>31</v>
      </c>
      <c r="H50" s="50" t="s">
        <v>32</v>
      </c>
      <c r="I50" s="56">
        <v>10.0</v>
      </c>
      <c r="J50" s="56" t="s">
        <v>120</v>
      </c>
      <c r="K50" s="74">
        <v>920.0</v>
      </c>
      <c r="L50" s="52">
        <f t="shared" ref="L50:L78" si="4">I50*K50</f>
        <v>9200</v>
      </c>
      <c r="M50" s="53" t="s">
        <v>177</v>
      </c>
    </row>
    <row r="51" ht="14.25" customHeight="1">
      <c r="A51" s="54">
        <v>40.0</v>
      </c>
      <c r="B51" s="55">
        <v>45929.0</v>
      </c>
      <c r="C51" s="50" t="s">
        <v>130</v>
      </c>
      <c r="D51" s="58" t="s">
        <v>98</v>
      </c>
      <c r="E51" s="3"/>
      <c r="F51" s="50" t="s">
        <v>30</v>
      </c>
      <c r="G51" s="50" t="s">
        <v>31</v>
      </c>
      <c r="H51" s="50" t="s">
        <v>32</v>
      </c>
      <c r="I51" s="56">
        <v>3.0</v>
      </c>
      <c r="J51" s="56" t="s">
        <v>113</v>
      </c>
      <c r="K51" s="74">
        <v>50.0</v>
      </c>
      <c r="L51" s="52">
        <f t="shared" si="4"/>
        <v>150</v>
      </c>
      <c r="M51" s="53" t="s">
        <v>178</v>
      </c>
    </row>
    <row r="52" ht="14.25" customHeight="1">
      <c r="A52" s="54">
        <v>41.0</v>
      </c>
      <c r="B52" s="75">
        <v>45930.0</v>
      </c>
      <c r="C52" s="76" t="s">
        <v>119</v>
      </c>
      <c r="D52" s="77" t="s">
        <v>159</v>
      </c>
      <c r="E52" s="3"/>
      <c r="F52" s="78" t="s">
        <v>30</v>
      </c>
      <c r="G52" s="76" t="s">
        <v>31</v>
      </c>
      <c r="H52" s="76" t="s">
        <v>32</v>
      </c>
      <c r="I52" s="79">
        <v>6.0</v>
      </c>
      <c r="J52" s="80" t="s">
        <v>120</v>
      </c>
      <c r="K52" s="81">
        <v>200.0</v>
      </c>
      <c r="L52" s="82">
        <f t="shared" si="4"/>
        <v>1200</v>
      </c>
      <c r="M52" s="59" t="s">
        <v>57</v>
      </c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</row>
    <row r="53" ht="14.25" customHeight="1">
      <c r="A53" s="54">
        <v>42.0</v>
      </c>
      <c r="B53" s="75">
        <v>45930.0</v>
      </c>
      <c r="C53" s="76" t="s">
        <v>119</v>
      </c>
      <c r="D53" s="77" t="s">
        <v>179</v>
      </c>
      <c r="E53" s="3"/>
      <c r="F53" s="76" t="s">
        <v>49</v>
      </c>
      <c r="G53" s="76" t="s">
        <v>31</v>
      </c>
      <c r="H53" s="76" t="s">
        <v>32</v>
      </c>
      <c r="I53" s="79">
        <v>5.0</v>
      </c>
      <c r="J53" s="80" t="s">
        <v>120</v>
      </c>
      <c r="K53" s="81">
        <v>1600.0</v>
      </c>
      <c r="L53" s="82">
        <f t="shared" si="4"/>
        <v>8000</v>
      </c>
      <c r="M53" s="60" t="s">
        <v>180</v>
      </c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</row>
    <row r="54" ht="14.25" customHeight="1">
      <c r="A54" s="54">
        <v>43.0</v>
      </c>
      <c r="B54" s="75">
        <v>45930.0</v>
      </c>
      <c r="C54" s="78" t="s">
        <v>124</v>
      </c>
      <c r="D54" s="77" t="s">
        <v>181</v>
      </c>
      <c r="E54" s="3"/>
      <c r="F54" s="78" t="s">
        <v>30</v>
      </c>
      <c r="G54" s="76" t="s">
        <v>31</v>
      </c>
      <c r="H54" s="76" t="s">
        <v>32</v>
      </c>
      <c r="I54" s="79">
        <v>6.0</v>
      </c>
      <c r="J54" s="80" t="s">
        <v>120</v>
      </c>
      <c r="K54" s="81">
        <v>150.0</v>
      </c>
      <c r="L54" s="82">
        <f t="shared" si="4"/>
        <v>900</v>
      </c>
      <c r="M54" s="60" t="s">
        <v>182</v>
      </c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</row>
    <row r="55" ht="14.25" customHeight="1">
      <c r="A55" s="84">
        <v>44.0</v>
      </c>
      <c r="B55" s="75">
        <v>45930.0</v>
      </c>
      <c r="C55" s="78" t="s">
        <v>130</v>
      </c>
      <c r="D55" s="77" t="s">
        <v>98</v>
      </c>
      <c r="E55" s="3"/>
      <c r="F55" s="78" t="s">
        <v>30</v>
      </c>
      <c r="G55" s="76" t="s">
        <v>31</v>
      </c>
      <c r="H55" s="76" t="s">
        <v>32</v>
      </c>
      <c r="I55" s="79">
        <v>2.0</v>
      </c>
      <c r="J55" s="80" t="s">
        <v>120</v>
      </c>
      <c r="K55" s="81">
        <v>150.0</v>
      </c>
      <c r="L55" s="82">
        <f t="shared" si="4"/>
        <v>300</v>
      </c>
      <c r="M55" s="60" t="s">
        <v>183</v>
      </c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</row>
    <row r="56" ht="14.25" customHeight="1">
      <c r="A56" s="54">
        <v>45.0</v>
      </c>
      <c r="B56" s="55">
        <v>45938.0</v>
      </c>
      <c r="C56" s="50" t="s">
        <v>119</v>
      </c>
      <c r="D56" s="58" t="s">
        <v>157</v>
      </c>
      <c r="E56" s="3"/>
      <c r="F56" s="50" t="s">
        <v>155</v>
      </c>
      <c r="G56" s="50" t="s">
        <v>31</v>
      </c>
      <c r="H56" s="50" t="s">
        <v>32</v>
      </c>
      <c r="I56" s="56">
        <v>8.0</v>
      </c>
      <c r="J56" s="56" t="s">
        <v>120</v>
      </c>
      <c r="K56" s="74">
        <v>750.0</v>
      </c>
      <c r="L56" s="52">
        <f t="shared" si="4"/>
        <v>6000</v>
      </c>
      <c r="M56" s="53" t="s">
        <v>158</v>
      </c>
    </row>
    <row r="57" ht="14.25" customHeight="1">
      <c r="A57" s="54">
        <v>46.0</v>
      </c>
      <c r="B57" s="55">
        <v>45939.0</v>
      </c>
      <c r="C57" s="50" t="s">
        <v>119</v>
      </c>
      <c r="D57" s="58" t="s">
        <v>41</v>
      </c>
      <c r="E57" s="3"/>
      <c r="F57" s="50" t="s">
        <v>30</v>
      </c>
      <c r="G57" s="50" t="s">
        <v>31</v>
      </c>
      <c r="H57" s="50" t="s">
        <v>32</v>
      </c>
      <c r="I57" s="56">
        <v>2.0</v>
      </c>
      <c r="J57" s="56" t="s">
        <v>120</v>
      </c>
      <c r="K57" s="74">
        <v>6000.0</v>
      </c>
      <c r="L57" s="52">
        <f t="shared" si="4"/>
        <v>12000</v>
      </c>
      <c r="M57" s="53" t="s">
        <v>184</v>
      </c>
    </row>
    <row r="58" ht="14.25" customHeight="1">
      <c r="A58" s="54">
        <v>47.0</v>
      </c>
      <c r="B58" s="55">
        <v>45957.0</v>
      </c>
      <c r="C58" s="50" t="s">
        <v>117</v>
      </c>
      <c r="D58" s="58" t="s">
        <v>148</v>
      </c>
      <c r="E58" s="3"/>
      <c r="F58" s="50" t="s">
        <v>30</v>
      </c>
      <c r="G58" s="50" t="s">
        <v>31</v>
      </c>
      <c r="H58" s="50" t="s">
        <v>68</v>
      </c>
      <c r="I58" s="56">
        <v>50.0</v>
      </c>
      <c r="J58" s="56" t="s">
        <v>113</v>
      </c>
      <c r="K58" s="74">
        <v>35.0</v>
      </c>
      <c r="L58" s="52">
        <f t="shared" si="4"/>
        <v>1750</v>
      </c>
      <c r="M58" s="53" t="s">
        <v>185</v>
      </c>
    </row>
    <row r="59" ht="14.25" customHeight="1">
      <c r="A59" s="85">
        <v>48.0</v>
      </c>
      <c r="B59" s="55">
        <v>45957.0</v>
      </c>
      <c r="C59" s="50"/>
      <c r="D59" s="86" t="s">
        <v>128</v>
      </c>
      <c r="E59" s="3"/>
      <c r="F59" s="50" t="s">
        <v>49</v>
      </c>
      <c r="G59" s="50" t="s">
        <v>31</v>
      </c>
      <c r="H59" s="50" t="s">
        <v>32</v>
      </c>
      <c r="I59" s="56">
        <v>4.0</v>
      </c>
      <c r="J59" s="56" t="s">
        <v>113</v>
      </c>
      <c r="K59" s="74">
        <v>575.0</v>
      </c>
      <c r="L59" s="52">
        <f t="shared" si="4"/>
        <v>2300</v>
      </c>
      <c r="M59" s="53" t="s">
        <v>186</v>
      </c>
    </row>
    <row r="60" ht="14.25" customHeight="1">
      <c r="A60" s="54">
        <v>49.0</v>
      </c>
      <c r="B60" s="55">
        <v>45957.0</v>
      </c>
      <c r="C60" s="50" t="s">
        <v>124</v>
      </c>
      <c r="D60" s="58" t="s">
        <v>41</v>
      </c>
      <c r="E60" s="3"/>
      <c r="F60" s="50" t="s">
        <v>142</v>
      </c>
      <c r="G60" s="50" t="s">
        <v>31</v>
      </c>
      <c r="H60" s="50" t="s">
        <v>32</v>
      </c>
      <c r="I60" s="56">
        <v>2.0</v>
      </c>
      <c r="J60" s="56" t="s">
        <v>120</v>
      </c>
      <c r="K60" s="74">
        <v>400.0</v>
      </c>
      <c r="L60" s="52">
        <f t="shared" si="4"/>
        <v>800</v>
      </c>
      <c r="M60" s="53" t="s">
        <v>74</v>
      </c>
    </row>
    <row r="61" ht="14.25" customHeight="1">
      <c r="A61" s="85">
        <v>50.0</v>
      </c>
      <c r="B61" s="55">
        <v>45957.0</v>
      </c>
      <c r="C61" s="50" t="s">
        <v>119</v>
      </c>
      <c r="D61" s="58" t="s">
        <v>41</v>
      </c>
      <c r="E61" s="3"/>
      <c r="F61" s="50" t="s">
        <v>142</v>
      </c>
      <c r="G61" s="50" t="s">
        <v>31</v>
      </c>
      <c r="H61" s="50" t="s">
        <v>32</v>
      </c>
      <c r="I61" s="56">
        <v>2.0</v>
      </c>
      <c r="J61" s="56" t="s">
        <v>120</v>
      </c>
      <c r="K61" s="74">
        <v>6000.0</v>
      </c>
      <c r="L61" s="52">
        <f t="shared" si="4"/>
        <v>12000</v>
      </c>
      <c r="M61" s="53" t="s">
        <v>74</v>
      </c>
    </row>
    <row r="62" ht="14.25" customHeight="1">
      <c r="A62" s="54">
        <v>51.0</v>
      </c>
      <c r="B62" s="55">
        <v>45957.0</v>
      </c>
      <c r="C62" s="50" t="s">
        <v>124</v>
      </c>
      <c r="D62" s="58" t="s">
        <v>70</v>
      </c>
      <c r="E62" s="3"/>
      <c r="F62" s="50" t="s">
        <v>30</v>
      </c>
      <c r="G62" s="50" t="s">
        <v>31</v>
      </c>
      <c r="H62" s="50" t="s">
        <v>32</v>
      </c>
      <c r="I62" s="56">
        <v>6.0</v>
      </c>
      <c r="J62" s="56" t="s">
        <v>120</v>
      </c>
      <c r="K62" s="74">
        <v>150.0</v>
      </c>
      <c r="L62" s="52">
        <f t="shared" si="4"/>
        <v>900</v>
      </c>
      <c r="M62" s="53"/>
    </row>
    <row r="63" ht="14.25" customHeight="1">
      <c r="A63" s="85">
        <v>52.0</v>
      </c>
      <c r="B63" s="55">
        <v>45957.0</v>
      </c>
      <c r="C63" s="50" t="s">
        <v>130</v>
      </c>
      <c r="D63" s="58" t="s">
        <v>134</v>
      </c>
      <c r="E63" s="3"/>
      <c r="F63" s="50" t="s">
        <v>30</v>
      </c>
      <c r="G63" s="50" t="s">
        <v>31</v>
      </c>
      <c r="H63" s="50" t="s">
        <v>32</v>
      </c>
      <c r="I63" s="56">
        <v>1.0</v>
      </c>
      <c r="J63" s="56" t="s">
        <v>120</v>
      </c>
      <c r="K63" s="74">
        <v>400.0</v>
      </c>
      <c r="L63" s="52">
        <f t="shared" si="4"/>
        <v>400</v>
      </c>
      <c r="M63" s="53" t="s">
        <v>187</v>
      </c>
    </row>
    <row r="64" ht="14.25" customHeight="1">
      <c r="A64" s="54">
        <v>53.0</v>
      </c>
      <c r="B64" s="55">
        <v>45957.0</v>
      </c>
      <c r="C64" s="50" t="s">
        <v>106</v>
      </c>
      <c r="D64" s="58" t="s">
        <v>148</v>
      </c>
      <c r="E64" s="3"/>
      <c r="F64" s="50" t="s">
        <v>30</v>
      </c>
      <c r="G64" s="50" t="s">
        <v>31</v>
      </c>
      <c r="H64" s="50" t="s">
        <v>32</v>
      </c>
      <c r="I64" s="56">
        <v>2.0</v>
      </c>
      <c r="J64" s="56" t="s">
        <v>113</v>
      </c>
      <c r="K64" s="74">
        <v>155.0</v>
      </c>
      <c r="L64" s="52">
        <f t="shared" si="4"/>
        <v>310</v>
      </c>
      <c r="M64" s="53"/>
    </row>
    <row r="65" ht="14.25" customHeight="1">
      <c r="A65" s="85">
        <v>54.0</v>
      </c>
      <c r="B65" s="55">
        <v>45957.0</v>
      </c>
      <c r="C65" s="50" t="s">
        <v>119</v>
      </c>
      <c r="D65" s="58" t="s">
        <v>41</v>
      </c>
      <c r="E65" s="3"/>
      <c r="F65" s="50" t="s">
        <v>142</v>
      </c>
      <c r="G65" s="50" t="s">
        <v>31</v>
      </c>
      <c r="H65" s="50" t="s">
        <v>32</v>
      </c>
      <c r="I65" s="56">
        <v>2.0</v>
      </c>
      <c r="J65" s="56" t="s">
        <v>120</v>
      </c>
      <c r="K65" s="74">
        <v>4000.0</v>
      </c>
      <c r="L65" s="52">
        <f t="shared" si="4"/>
        <v>8000</v>
      </c>
      <c r="M65" s="53" t="s">
        <v>188</v>
      </c>
    </row>
    <row r="66" ht="14.25" customHeight="1">
      <c r="A66" s="54">
        <v>55.0</v>
      </c>
      <c r="B66" s="55">
        <v>45957.0</v>
      </c>
      <c r="C66" s="50" t="s">
        <v>124</v>
      </c>
      <c r="D66" s="58" t="s">
        <v>189</v>
      </c>
      <c r="E66" s="3"/>
      <c r="F66" s="50" t="s">
        <v>64</v>
      </c>
      <c r="G66" s="50" t="s">
        <v>31</v>
      </c>
      <c r="H66" s="50" t="s">
        <v>32</v>
      </c>
      <c r="I66" s="56">
        <v>5.0</v>
      </c>
      <c r="J66" s="56" t="s">
        <v>120</v>
      </c>
      <c r="K66" s="74">
        <v>1000.0</v>
      </c>
      <c r="L66" s="52">
        <f t="shared" si="4"/>
        <v>5000</v>
      </c>
      <c r="M66" s="53"/>
    </row>
    <row r="67" ht="14.25" customHeight="1">
      <c r="A67" s="85">
        <v>56.0</v>
      </c>
      <c r="B67" s="55">
        <v>45957.0</v>
      </c>
      <c r="C67" s="50" t="s">
        <v>119</v>
      </c>
      <c r="D67" s="58" t="s">
        <v>190</v>
      </c>
      <c r="E67" s="3"/>
      <c r="F67" s="50" t="s">
        <v>64</v>
      </c>
      <c r="G67" s="50" t="s">
        <v>31</v>
      </c>
      <c r="H67" s="50" t="s">
        <v>32</v>
      </c>
      <c r="I67" s="56">
        <v>14.0</v>
      </c>
      <c r="J67" s="56" t="s">
        <v>120</v>
      </c>
      <c r="K67" s="74">
        <v>1357.0</v>
      </c>
      <c r="L67" s="52">
        <f t="shared" si="4"/>
        <v>18998</v>
      </c>
      <c r="M67" s="53"/>
    </row>
    <row r="68" ht="14.25" customHeight="1">
      <c r="A68" s="54">
        <v>57.0</v>
      </c>
      <c r="B68" s="55">
        <v>45957.0</v>
      </c>
      <c r="C68" s="50" t="s">
        <v>117</v>
      </c>
      <c r="D68" s="58" t="s">
        <v>148</v>
      </c>
      <c r="E68" s="3"/>
      <c r="F68" s="50" t="s">
        <v>30</v>
      </c>
      <c r="G68" s="50" t="s">
        <v>31</v>
      </c>
      <c r="H68" s="50" t="s">
        <v>32</v>
      </c>
      <c r="I68" s="56">
        <v>50.0</v>
      </c>
      <c r="J68" s="56" t="s">
        <v>113</v>
      </c>
      <c r="K68" s="74">
        <v>38.0</v>
      </c>
      <c r="L68" s="52">
        <f t="shared" si="4"/>
        <v>1900</v>
      </c>
      <c r="M68" s="53" t="s">
        <v>149</v>
      </c>
    </row>
    <row r="69" ht="14.25" customHeight="1">
      <c r="A69" s="85">
        <v>58.0</v>
      </c>
      <c r="B69" s="55">
        <v>45957.0</v>
      </c>
      <c r="C69" s="50" t="s">
        <v>106</v>
      </c>
      <c r="D69" s="58" t="s">
        <v>148</v>
      </c>
      <c r="E69" s="3"/>
      <c r="F69" s="50" t="s">
        <v>30</v>
      </c>
      <c r="G69" s="50" t="s">
        <v>31</v>
      </c>
      <c r="H69" s="50" t="s">
        <v>32</v>
      </c>
      <c r="I69" s="56">
        <v>7.0</v>
      </c>
      <c r="J69" s="56" t="s">
        <v>113</v>
      </c>
      <c r="K69" s="74">
        <v>150.0</v>
      </c>
      <c r="L69" s="52">
        <f t="shared" si="4"/>
        <v>1050</v>
      </c>
      <c r="M69" s="53"/>
    </row>
    <row r="70" ht="14.25" customHeight="1">
      <c r="A70" s="54">
        <v>59.0</v>
      </c>
      <c r="B70" s="55">
        <v>45957.0</v>
      </c>
      <c r="C70" s="50" t="s">
        <v>119</v>
      </c>
      <c r="D70" s="58" t="s">
        <v>41</v>
      </c>
      <c r="E70" s="3"/>
      <c r="F70" s="50" t="s">
        <v>142</v>
      </c>
      <c r="G70" s="50" t="s">
        <v>31</v>
      </c>
      <c r="H70" s="50" t="s">
        <v>32</v>
      </c>
      <c r="I70" s="56">
        <v>3.0</v>
      </c>
      <c r="J70" s="56" t="s">
        <v>120</v>
      </c>
      <c r="K70" s="74">
        <v>1500.0</v>
      </c>
      <c r="L70" s="52">
        <f t="shared" si="4"/>
        <v>4500</v>
      </c>
      <c r="M70" s="53"/>
    </row>
    <row r="71" ht="14.25" customHeight="1">
      <c r="A71" s="85">
        <v>60.0</v>
      </c>
      <c r="B71" s="55">
        <v>45957.0</v>
      </c>
      <c r="C71" s="50" t="s">
        <v>124</v>
      </c>
      <c r="D71" s="58" t="s">
        <v>162</v>
      </c>
      <c r="E71" s="3"/>
      <c r="F71" s="50" t="s">
        <v>142</v>
      </c>
      <c r="G71" s="50" t="s">
        <v>31</v>
      </c>
      <c r="H71" s="50" t="s">
        <v>32</v>
      </c>
      <c r="I71" s="56">
        <v>6.0</v>
      </c>
      <c r="J71" s="56" t="s">
        <v>120</v>
      </c>
      <c r="K71" s="74">
        <v>500.0</v>
      </c>
      <c r="L71" s="52">
        <f t="shared" si="4"/>
        <v>3000</v>
      </c>
      <c r="M71" s="53" t="s">
        <v>74</v>
      </c>
    </row>
    <row r="72" ht="14.25" customHeight="1">
      <c r="A72" s="54">
        <v>61.0</v>
      </c>
      <c r="B72" s="55">
        <v>46032.0</v>
      </c>
      <c r="C72" s="50" t="s">
        <v>119</v>
      </c>
      <c r="D72" s="58" t="s">
        <v>191</v>
      </c>
      <c r="E72" s="3"/>
      <c r="F72" s="50" t="s">
        <v>64</v>
      </c>
      <c r="G72" s="50" t="s">
        <v>31</v>
      </c>
      <c r="H72" s="50" t="s">
        <v>32</v>
      </c>
      <c r="I72" s="56">
        <v>2.0</v>
      </c>
      <c r="J72" s="56" t="s">
        <v>120</v>
      </c>
      <c r="K72" s="74">
        <v>1500.0</v>
      </c>
      <c r="L72" s="52">
        <f t="shared" si="4"/>
        <v>3000</v>
      </c>
      <c r="M72" s="53" t="s">
        <v>192</v>
      </c>
    </row>
    <row r="73" ht="14.25" customHeight="1">
      <c r="A73" s="85">
        <v>62.0</v>
      </c>
      <c r="B73" s="55">
        <v>46033.0</v>
      </c>
      <c r="C73" s="50" t="s">
        <v>119</v>
      </c>
      <c r="D73" s="58" t="s">
        <v>193</v>
      </c>
      <c r="E73" s="3"/>
      <c r="F73" s="50" t="s">
        <v>30</v>
      </c>
      <c r="G73" s="50" t="s">
        <v>31</v>
      </c>
      <c r="H73" s="50" t="s">
        <v>32</v>
      </c>
      <c r="I73" s="56">
        <v>2.0</v>
      </c>
      <c r="J73" s="56" t="s">
        <v>120</v>
      </c>
      <c r="K73" s="74">
        <v>650.0</v>
      </c>
      <c r="L73" s="52">
        <f t="shared" si="4"/>
        <v>1300</v>
      </c>
      <c r="M73" s="53" t="s">
        <v>194</v>
      </c>
    </row>
    <row r="74" ht="14.25" customHeight="1">
      <c r="A74" s="54">
        <v>63.0</v>
      </c>
      <c r="B74" s="55">
        <v>46064.0</v>
      </c>
      <c r="C74" s="50" t="s">
        <v>195</v>
      </c>
      <c r="D74" s="58" t="s">
        <v>157</v>
      </c>
      <c r="E74" s="3"/>
      <c r="F74" s="50" t="s">
        <v>142</v>
      </c>
      <c r="G74" s="50" t="s">
        <v>31</v>
      </c>
      <c r="H74" s="50" t="s">
        <v>32</v>
      </c>
      <c r="I74" s="56">
        <v>3.0</v>
      </c>
      <c r="J74" s="56" t="s">
        <v>120</v>
      </c>
      <c r="K74" s="74">
        <v>834.0</v>
      </c>
      <c r="L74" s="52">
        <f t="shared" si="4"/>
        <v>2502</v>
      </c>
      <c r="M74" s="53" t="s">
        <v>196</v>
      </c>
    </row>
    <row r="75" ht="14.25" customHeight="1">
      <c r="A75" s="54">
        <v>64.0</v>
      </c>
      <c r="B75" s="55">
        <v>46067.0</v>
      </c>
      <c r="C75" s="50" t="s">
        <v>197</v>
      </c>
      <c r="D75" s="58" t="s">
        <v>41</v>
      </c>
      <c r="E75" s="3"/>
      <c r="F75" s="50" t="s">
        <v>84</v>
      </c>
      <c r="G75" s="50" t="s">
        <v>31</v>
      </c>
      <c r="H75" s="50" t="s">
        <v>32</v>
      </c>
      <c r="I75" s="56">
        <v>6.0</v>
      </c>
      <c r="J75" s="56" t="s">
        <v>120</v>
      </c>
      <c r="K75" s="74">
        <v>1667.0</v>
      </c>
      <c r="L75" s="52">
        <f t="shared" si="4"/>
        <v>10002</v>
      </c>
      <c r="M75" s="53" t="s">
        <v>198</v>
      </c>
    </row>
    <row r="76" ht="14.25" customHeight="1">
      <c r="A76" s="54">
        <v>65.0</v>
      </c>
      <c r="B76" s="55">
        <v>46076.0</v>
      </c>
      <c r="C76" s="50" t="s">
        <v>119</v>
      </c>
      <c r="D76" s="58" t="s">
        <v>41</v>
      </c>
      <c r="E76" s="3"/>
      <c r="F76" s="50" t="s">
        <v>84</v>
      </c>
      <c r="G76" s="50" t="s">
        <v>31</v>
      </c>
      <c r="H76" s="50" t="s">
        <v>32</v>
      </c>
      <c r="I76" s="56">
        <v>11.0</v>
      </c>
      <c r="J76" s="56" t="s">
        <v>120</v>
      </c>
      <c r="K76" s="74">
        <v>1064.0</v>
      </c>
      <c r="L76" s="52">
        <f t="shared" si="4"/>
        <v>11704</v>
      </c>
      <c r="M76" s="53" t="s">
        <v>199</v>
      </c>
    </row>
    <row r="77" ht="14.25" customHeight="1">
      <c r="A77" s="54">
        <v>66.0</v>
      </c>
      <c r="B77" s="55">
        <v>46080.0</v>
      </c>
      <c r="C77" s="50" t="s">
        <v>124</v>
      </c>
      <c r="D77" s="58" t="s">
        <v>200</v>
      </c>
      <c r="E77" s="3"/>
      <c r="F77" s="50" t="s">
        <v>49</v>
      </c>
      <c r="G77" s="50" t="s">
        <v>31</v>
      </c>
      <c r="H77" s="50" t="s">
        <v>32</v>
      </c>
      <c r="I77" s="56">
        <v>20.0</v>
      </c>
      <c r="J77" s="56" t="s">
        <v>120</v>
      </c>
      <c r="K77" s="74">
        <v>190.0</v>
      </c>
      <c r="L77" s="52">
        <f t="shared" si="4"/>
        <v>3800</v>
      </c>
      <c r="M77" s="53" t="s">
        <v>201</v>
      </c>
    </row>
    <row r="78" ht="14.25" customHeight="1">
      <c r="A78" s="54">
        <v>67.0</v>
      </c>
      <c r="B78" s="55">
        <v>46082.0</v>
      </c>
      <c r="C78" s="50" t="s">
        <v>197</v>
      </c>
      <c r="D78" s="58" t="s">
        <v>35</v>
      </c>
      <c r="E78" s="3"/>
      <c r="F78" s="50" t="s">
        <v>30</v>
      </c>
      <c r="G78" s="50" t="s">
        <v>31</v>
      </c>
      <c r="H78" s="50" t="s">
        <v>32</v>
      </c>
      <c r="I78" s="56">
        <v>2.0</v>
      </c>
      <c r="J78" s="56" t="s">
        <v>120</v>
      </c>
      <c r="K78" s="74">
        <v>750.0</v>
      </c>
      <c r="L78" s="52">
        <f t="shared" si="4"/>
        <v>1500</v>
      </c>
      <c r="M78" s="53" t="s">
        <v>202</v>
      </c>
    </row>
    <row r="79" ht="14.25" customHeight="1">
      <c r="A79" s="54">
        <v>68.0</v>
      </c>
      <c r="B79" s="55">
        <v>46096.0</v>
      </c>
      <c r="C79" s="50" t="s">
        <v>153</v>
      </c>
      <c r="D79" s="58" t="s">
        <v>203</v>
      </c>
      <c r="E79" s="3"/>
      <c r="F79" s="50" t="s">
        <v>64</v>
      </c>
      <c r="G79" s="50" t="s">
        <v>31</v>
      </c>
      <c r="H79" s="50" t="s">
        <v>32</v>
      </c>
      <c r="I79" s="56">
        <v>1.0</v>
      </c>
      <c r="J79" s="56" t="s">
        <v>120</v>
      </c>
      <c r="K79" s="74">
        <v>1500.0</v>
      </c>
      <c r="L79" s="57">
        <v>1500.0</v>
      </c>
      <c r="M79" s="53" t="s">
        <v>204</v>
      </c>
    </row>
    <row r="80" ht="14.25" customHeight="1">
      <c r="A80" s="54">
        <v>69.0</v>
      </c>
      <c r="B80" s="55">
        <v>46097.0</v>
      </c>
      <c r="C80" s="50" t="s">
        <v>106</v>
      </c>
      <c r="D80" s="58" t="s">
        <v>205</v>
      </c>
      <c r="E80" s="3"/>
      <c r="F80" s="50" t="s">
        <v>30</v>
      </c>
      <c r="G80" s="50" t="s">
        <v>31</v>
      </c>
      <c r="H80" s="50" t="s">
        <v>32</v>
      </c>
      <c r="I80" s="56">
        <v>56.0</v>
      </c>
      <c r="J80" s="56" t="s">
        <v>113</v>
      </c>
      <c r="K80" s="74">
        <v>49.0</v>
      </c>
      <c r="L80" s="57">
        <v>2700.0</v>
      </c>
      <c r="M80" s="53"/>
    </row>
    <row r="81" ht="14.25" customHeight="1">
      <c r="A81" s="54">
        <v>70.0</v>
      </c>
      <c r="B81" s="55">
        <v>46099.0</v>
      </c>
      <c r="C81" s="50" t="s">
        <v>124</v>
      </c>
      <c r="D81" s="58" t="s">
        <v>206</v>
      </c>
      <c r="E81" s="3"/>
      <c r="F81" s="50" t="s">
        <v>49</v>
      </c>
      <c r="G81" s="50" t="s">
        <v>31</v>
      </c>
      <c r="H81" s="50" t="s">
        <v>32</v>
      </c>
      <c r="I81" s="56">
        <v>3.0</v>
      </c>
      <c r="J81" s="56" t="s">
        <v>120</v>
      </c>
      <c r="K81" s="74">
        <v>275.0</v>
      </c>
      <c r="L81" s="57">
        <v>800.0</v>
      </c>
      <c r="M81" s="53"/>
    </row>
    <row r="82" ht="14.25" customHeight="1">
      <c r="A82" s="54">
        <v>71.0</v>
      </c>
      <c r="B82" s="55">
        <v>46101.0</v>
      </c>
      <c r="C82" s="50" t="s">
        <v>119</v>
      </c>
      <c r="D82" s="58" t="s">
        <v>207</v>
      </c>
      <c r="E82" s="3"/>
      <c r="F82" s="50" t="s">
        <v>64</v>
      </c>
      <c r="G82" s="50" t="s">
        <v>31</v>
      </c>
      <c r="H82" s="50" t="s">
        <v>68</v>
      </c>
      <c r="I82" s="56">
        <v>22.0</v>
      </c>
      <c r="J82" s="56" t="s">
        <v>120</v>
      </c>
      <c r="K82" s="74">
        <v>1250.0</v>
      </c>
      <c r="L82" s="57">
        <v>28000.0</v>
      </c>
      <c r="M82" s="53" t="s">
        <v>208</v>
      </c>
    </row>
    <row r="83" ht="14.25" customHeight="1">
      <c r="A83" s="54">
        <v>72.0</v>
      </c>
      <c r="B83" s="55">
        <v>46114.0</v>
      </c>
      <c r="C83" s="50" t="s">
        <v>124</v>
      </c>
      <c r="D83" s="58" t="s">
        <v>35</v>
      </c>
      <c r="E83" s="3"/>
      <c r="F83" s="50" t="s">
        <v>30</v>
      </c>
      <c r="G83" s="50" t="s">
        <v>31</v>
      </c>
      <c r="H83" s="50" t="s">
        <v>68</v>
      </c>
      <c r="I83" s="56">
        <v>2.0</v>
      </c>
      <c r="J83" s="56" t="s">
        <v>120</v>
      </c>
      <c r="K83" s="74">
        <v>650.0</v>
      </c>
      <c r="L83" s="57">
        <v>1300.0</v>
      </c>
      <c r="M83" s="53" t="s">
        <v>209</v>
      </c>
    </row>
    <row r="84" ht="14.25" customHeight="1">
      <c r="A84" s="54">
        <v>73.0</v>
      </c>
      <c r="B84" s="55">
        <v>46118.0</v>
      </c>
      <c r="C84" s="50" t="s">
        <v>210</v>
      </c>
      <c r="D84" s="58" t="s">
        <v>211</v>
      </c>
      <c r="E84" s="3"/>
      <c r="F84" s="50" t="s">
        <v>49</v>
      </c>
      <c r="G84" s="50" t="s">
        <v>31</v>
      </c>
      <c r="H84" s="50" t="s">
        <v>68</v>
      </c>
      <c r="I84" s="56">
        <v>35.0</v>
      </c>
      <c r="J84" s="56" t="s">
        <v>120</v>
      </c>
      <c r="K84" s="74">
        <v>13.0</v>
      </c>
      <c r="L84" s="57">
        <v>450.0</v>
      </c>
      <c r="M84" s="53"/>
    </row>
    <row r="85" ht="14.25" customHeight="1">
      <c r="A85" s="54">
        <v>74.0</v>
      </c>
      <c r="B85" s="55"/>
      <c r="C85" s="50" t="s">
        <v>119</v>
      </c>
      <c r="D85" s="58" t="s">
        <v>212</v>
      </c>
      <c r="E85" s="3"/>
      <c r="F85" s="50" t="s">
        <v>49</v>
      </c>
      <c r="G85" s="50" t="s">
        <v>31</v>
      </c>
      <c r="H85" s="50" t="s">
        <v>68</v>
      </c>
      <c r="I85" s="56">
        <v>4.0</v>
      </c>
      <c r="J85" s="56" t="s">
        <v>120</v>
      </c>
      <c r="K85" s="74">
        <v>1000.0</v>
      </c>
      <c r="L85" s="52"/>
      <c r="M85" s="53"/>
    </row>
    <row r="86" ht="14.25" customHeight="1">
      <c r="A86" s="54">
        <v>75.0</v>
      </c>
      <c r="B86" s="55"/>
      <c r="C86" s="50" t="s">
        <v>119</v>
      </c>
      <c r="D86" s="58" t="s">
        <v>212</v>
      </c>
      <c r="E86" s="3"/>
      <c r="F86" s="50" t="s">
        <v>49</v>
      </c>
      <c r="G86" s="50" t="s">
        <v>31</v>
      </c>
      <c r="H86" s="50" t="s">
        <v>68</v>
      </c>
      <c r="I86" s="56">
        <v>4.0</v>
      </c>
      <c r="J86" s="56" t="s">
        <v>120</v>
      </c>
      <c r="K86" s="74">
        <v>3000.0</v>
      </c>
      <c r="L86" s="52"/>
      <c r="M86" s="53" t="s">
        <v>213</v>
      </c>
    </row>
    <row r="87" ht="14.25" customHeight="1">
      <c r="A87" s="54">
        <v>76.0</v>
      </c>
      <c r="B87" s="55"/>
      <c r="C87" s="50"/>
      <c r="D87" s="58"/>
      <c r="E87" s="3"/>
      <c r="F87" s="50"/>
      <c r="G87" s="50"/>
      <c r="H87" s="50"/>
      <c r="I87" s="56"/>
      <c r="J87" s="56"/>
      <c r="K87" s="74"/>
      <c r="L87" s="52"/>
      <c r="M87" s="53"/>
    </row>
    <row r="88" ht="14.25" customHeight="1">
      <c r="A88" s="54">
        <v>77.0</v>
      </c>
      <c r="B88" s="55"/>
      <c r="C88" s="50"/>
      <c r="D88" s="58"/>
      <c r="E88" s="3"/>
      <c r="F88" s="50"/>
      <c r="G88" s="50"/>
      <c r="H88" s="50"/>
      <c r="I88" s="56"/>
      <c r="J88" s="56"/>
      <c r="K88" s="74"/>
      <c r="L88" s="52"/>
      <c r="M88" s="53"/>
    </row>
    <row r="89" ht="14.25" customHeight="1">
      <c r="A89" s="54">
        <v>78.0</v>
      </c>
      <c r="B89" s="55"/>
      <c r="C89" s="50"/>
      <c r="D89" s="58"/>
      <c r="E89" s="3"/>
      <c r="F89" s="50"/>
      <c r="G89" s="50"/>
      <c r="H89" s="50"/>
      <c r="I89" s="56"/>
      <c r="J89" s="56"/>
      <c r="K89" s="74"/>
      <c r="L89" s="52"/>
      <c r="M89" s="53"/>
    </row>
    <row r="90" ht="14.25" customHeight="1">
      <c r="A90" s="54">
        <v>79.0</v>
      </c>
      <c r="B90" s="55"/>
      <c r="C90" s="50"/>
      <c r="D90" s="58"/>
      <c r="E90" s="3"/>
      <c r="F90" s="50"/>
      <c r="G90" s="50"/>
      <c r="H90" s="50"/>
      <c r="I90" s="56"/>
      <c r="J90" s="56"/>
      <c r="K90" s="74"/>
      <c r="L90" s="52"/>
      <c r="M90" s="53"/>
    </row>
    <row r="91" ht="14.25" customHeight="1">
      <c r="A91" s="54">
        <v>80.0</v>
      </c>
      <c r="B91" s="55"/>
      <c r="C91" s="50"/>
      <c r="D91" s="58"/>
      <c r="E91" s="3"/>
      <c r="F91" s="50"/>
      <c r="G91" s="50"/>
      <c r="H91" s="50"/>
      <c r="I91" s="56"/>
      <c r="J91" s="56"/>
      <c r="K91" s="74"/>
      <c r="L91" s="52"/>
      <c r="M91" s="53"/>
    </row>
    <row r="92" ht="14.25" customHeight="1">
      <c r="A92" s="54"/>
      <c r="B92" s="55"/>
      <c r="C92" s="50"/>
      <c r="D92" s="58"/>
      <c r="E92" s="3"/>
      <c r="F92" s="50"/>
      <c r="G92" s="50"/>
      <c r="H92" s="50"/>
      <c r="I92" s="56"/>
      <c r="J92" s="56"/>
      <c r="K92" s="74"/>
      <c r="L92" s="52"/>
      <c r="M92" s="53"/>
    </row>
    <row r="93" ht="14.25" customHeight="1">
      <c r="A93" s="54"/>
      <c r="B93" s="55"/>
      <c r="C93" s="50"/>
      <c r="D93" s="58"/>
      <c r="E93" s="3"/>
      <c r="F93" s="50"/>
      <c r="G93" s="50"/>
      <c r="H93" s="50"/>
      <c r="I93" s="56"/>
      <c r="J93" s="56"/>
      <c r="K93" s="74"/>
      <c r="L93" s="52"/>
      <c r="M93" s="53"/>
    </row>
    <row r="94" ht="14.25" customHeight="1">
      <c r="A94" s="54"/>
      <c r="B94" s="55"/>
      <c r="C94" s="50"/>
      <c r="D94" s="58"/>
      <c r="E94" s="3"/>
      <c r="F94" s="50"/>
      <c r="G94" s="50"/>
      <c r="H94" s="50"/>
      <c r="I94" s="56"/>
      <c r="J94" s="56"/>
      <c r="K94" s="74"/>
      <c r="L94" s="52"/>
      <c r="M94" s="53"/>
    </row>
    <row r="95" ht="14.25" customHeight="1">
      <c r="A95" s="54"/>
      <c r="B95" s="55"/>
      <c r="C95" s="50"/>
      <c r="D95" s="58"/>
      <c r="E95" s="3"/>
      <c r="F95" s="50"/>
      <c r="G95" s="50"/>
      <c r="H95" s="50"/>
      <c r="I95" s="56"/>
      <c r="J95" s="56"/>
      <c r="K95" s="74"/>
      <c r="L95" s="52"/>
      <c r="M95" s="53"/>
    </row>
    <row r="96" ht="14.25" customHeight="1">
      <c r="A96" s="54"/>
      <c r="B96" s="55"/>
      <c r="C96" s="50"/>
      <c r="D96" s="58"/>
      <c r="E96" s="3"/>
      <c r="F96" s="50"/>
      <c r="G96" s="50"/>
      <c r="H96" s="50"/>
      <c r="I96" s="56"/>
      <c r="J96" s="56"/>
      <c r="K96" s="74"/>
      <c r="L96" s="52"/>
      <c r="M96" s="53"/>
    </row>
    <row r="97" ht="14.25" customHeight="1">
      <c r="A97" s="54"/>
      <c r="B97" s="55"/>
      <c r="C97" s="50"/>
      <c r="D97" s="58"/>
      <c r="E97" s="3"/>
      <c r="F97" s="50"/>
      <c r="G97" s="50"/>
      <c r="H97" s="50"/>
      <c r="I97" s="56"/>
      <c r="J97" s="56"/>
      <c r="K97" s="74"/>
      <c r="L97" s="52"/>
      <c r="M97" s="53"/>
    </row>
    <row r="98" ht="14.25" customHeight="1">
      <c r="A98" s="54"/>
      <c r="B98" s="55"/>
      <c r="C98" s="50"/>
      <c r="D98" s="58"/>
      <c r="E98" s="3"/>
      <c r="F98" s="50"/>
      <c r="G98" s="50"/>
      <c r="H98" s="50"/>
      <c r="I98" s="56"/>
      <c r="J98" s="56"/>
      <c r="K98" s="74"/>
      <c r="L98" s="52"/>
      <c r="M98" s="53"/>
    </row>
    <row r="99" ht="14.25" customHeight="1">
      <c r="A99" s="54"/>
      <c r="B99" s="55"/>
      <c r="C99" s="50"/>
      <c r="D99" s="58"/>
      <c r="E99" s="3"/>
      <c r="F99" s="50"/>
      <c r="G99" s="50"/>
      <c r="H99" s="50"/>
      <c r="I99" s="56"/>
      <c r="J99" s="56"/>
      <c r="K99" s="74"/>
      <c r="L99" s="52"/>
      <c r="M99" s="53"/>
    </row>
    <row r="100" ht="14.25" customHeight="1">
      <c r="A100" s="54"/>
      <c r="B100" s="55"/>
      <c r="C100" s="50"/>
      <c r="D100" s="58"/>
      <c r="E100" s="3"/>
      <c r="F100" s="50"/>
      <c r="G100" s="50"/>
      <c r="H100" s="50"/>
      <c r="I100" s="56"/>
      <c r="J100" s="56"/>
      <c r="K100" s="74"/>
      <c r="L100" s="52"/>
      <c r="M100" s="53"/>
    </row>
    <row r="101" ht="14.25" customHeight="1">
      <c r="A101" s="54"/>
      <c r="B101" s="55"/>
      <c r="C101" s="50"/>
      <c r="D101" s="58"/>
      <c r="E101" s="3"/>
      <c r="F101" s="50"/>
      <c r="G101" s="50"/>
      <c r="H101" s="50"/>
      <c r="I101" s="56"/>
      <c r="J101" s="56"/>
      <c r="K101" s="74"/>
      <c r="L101" s="52"/>
      <c r="M101" s="53"/>
    </row>
    <row r="102" ht="14.25" customHeight="1">
      <c r="A102" s="54"/>
      <c r="B102" s="55"/>
      <c r="C102" s="50"/>
      <c r="D102" s="58"/>
      <c r="E102" s="3"/>
      <c r="F102" s="50"/>
      <c r="G102" s="50"/>
      <c r="H102" s="50"/>
      <c r="I102" s="56"/>
      <c r="J102" s="56"/>
      <c r="K102" s="74"/>
      <c r="L102" s="52"/>
      <c r="M102" s="53"/>
    </row>
    <row r="103" ht="14.25" customHeight="1">
      <c r="A103" s="54"/>
      <c r="B103" s="55"/>
      <c r="C103" s="50"/>
      <c r="D103" s="58"/>
      <c r="E103" s="3"/>
      <c r="F103" s="50"/>
      <c r="G103" s="50"/>
      <c r="H103" s="50"/>
      <c r="I103" s="56"/>
      <c r="J103" s="56"/>
      <c r="K103" s="74"/>
      <c r="L103" s="52"/>
      <c r="M103" s="53"/>
    </row>
    <row r="104" ht="14.25" customHeight="1">
      <c r="A104" s="54"/>
      <c r="B104" s="55"/>
      <c r="C104" s="50"/>
      <c r="D104" s="58"/>
      <c r="E104" s="3"/>
      <c r="F104" s="50"/>
      <c r="G104" s="50"/>
      <c r="H104" s="50"/>
      <c r="I104" s="56"/>
      <c r="J104" s="56"/>
      <c r="K104" s="74"/>
      <c r="L104" s="52"/>
      <c r="M104" s="53"/>
    </row>
    <row r="105" ht="14.25" customHeight="1">
      <c r="A105" s="54"/>
      <c r="B105" s="55"/>
      <c r="C105" s="50"/>
      <c r="D105" s="58"/>
      <c r="E105" s="3"/>
      <c r="F105" s="50"/>
      <c r="G105" s="50"/>
      <c r="H105" s="50"/>
      <c r="I105" s="56"/>
      <c r="J105" s="56"/>
      <c r="K105" s="74"/>
      <c r="L105" s="52"/>
      <c r="M105" s="53"/>
    </row>
    <row r="106" ht="14.25" customHeight="1">
      <c r="A106" s="54"/>
      <c r="B106" s="55"/>
      <c r="C106" s="50"/>
      <c r="D106" s="58"/>
      <c r="E106" s="3"/>
      <c r="F106" s="50"/>
      <c r="G106" s="50"/>
      <c r="H106" s="50"/>
      <c r="I106" s="56"/>
      <c r="J106" s="56"/>
      <c r="K106" s="74"/>
      <c r="L106" s="52"/>
      <c r="M106" s="53"/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8">
    <mergeCell ref="A1:L1"/>
    <mergeCell ref="A2:L2"/>
    <mergeCell ref="A3:D3"/>
    <mergeCell ref="E3:E4"/>
    <mergeCell ref="F3:H4"/>
    <mergeCell ref="I3:L3"/>
    <mergeCell ref="A4:B4"/>
    <mergeCell ref="I7:L7"/>
    <mergeCell ref="A8:L8"/>
    <mergeCell ref="F9:H9"/>
    <mergeCell ref="I9:L9"/>
    <mergeCell ref="A10:L10"/>
    <mergeCell ref="I4:L4"/>
    <mergeCell ref="A5:L5"/>
    <mergeCell ref="A6:B6"/>
    <mergeCell ref="C6:D6"/>
    <mergeCell ref="E6:E7"/>
    <mergeCell ref="F6:H7"/>
    <mergeCell ref="I6:L6"/>
    <mergeCell ref="A7:B7"/>
    <mergeCell ref="C7:D7"/>
    <mergeCell ref="A9:B9"/>
    <mergeCell ref="C9:D9"/>
    <mergeCell ref="A11:A12"/>
    <mergeCell ref="B11:B12"/>
    <mergeCell ref="C11:C12"/>
    <mergeCell ref="F11:F12"/>
    <mergeCell ref="G11:G12"/>
    <mergeCell ref="H11:H12"/>
    <mergeCell ref="I11:J11"/>
    <mergeCell ref="K11:K12"/>
    <mergeCell ref="L11:L12"/>
    <mergeCell ref="M11:M12"/>
    <mergeCell ref="D11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103:E103"/>
    <mergeCell ref="D104:E104"/>
    <mergeCell ref="D105:E105"/>
    <mergeCell ref="D106:E106"/>
    <mergeCell ref="D96:E96"/>
    <mergeCell ref="D97:E97"/>
    <mergeCell ref="D98:E98"/>
    <mergeCell ref="D99:E99"/>
    <mergeCell ref="D100:E100"/>
    <mergeCell ref="D101:E101"/>
    <mergeCell ref="D102:E102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</mergeCells>
  <dataValidations>
    <dataValidation type="list" allowBlank="1" showErrorMessage="1" sqref="I3 C13:C73 C75:C106">
      <formula1>"Sun Flower seeds,Vimrol,Seeds,Mix seeds,Helicopter budgies,Steel Mess,Normal budgies,Auto Feeder,Wood and suppliments,Breeding Box,Finches,Black Wings,Tray sheet,Lutino Budgies,Calcium blocks"</formula1>
    </dataValidation>
    <dataValidation type="list" allowBlank="1" showErrorMessage="1" sqref="H13:H106">
      <formula1>"On Cash,On Credit"</formula1>
    </dataValidation>
    <dataValidation type="list" allowBlank="1" showErrorMessage="1" sqref="J13:J106">
      <formula1>"Kg,ml,Nos,Ltr"</formula1>
    </dataValidation>
    <dataValidation type="list" allowBlank="1" showErrorMessage="1" sqref="F13:F48 F50:F106">
      <formula1>"Mysore,Bangalore,kerala,Chennai,Mandya,KGF,Nagara"</formula1>
    </dataValidation>
    <dataValidation type="list" allowBlank="1" showErrorMessage="1" sqref="C74">
      <formula1>"Sun Flower seeds,Vimrol,Seeds,Mix seeds,Helicopter budgies,Steel Mess,Normal budgies,Auto Feeder,Wood and suppliments,Breeding Box,Finches,Black Wings,Tray sheet,Cockatiel"</formula1>
    </dataValidation>
    <dataValidation type="list" allowBlank="1" showErrorMessage="1" sqref="G13:G106">
      <formula1>"Paid,Not Paid"</formula1>
    </dataValidation>
    <dataValidation type="list" allowBlank="1" showErrorMessage="1" sqref="F49">
      <formula1>"Mysore,Bangalore,kerala,Chennai,Mandya,KGF,Kalkata"</formula1>
    </dataValidation>
  </dataValidations>
  <printOptions/>
  <pageMargins bottom="0.75" footer="0.0" header="0.0" left="0.7" right="0.7" top="0.75"/>
  <pageSetup scale="5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2025-06-02T08:46:11Z</dcterms:created>
  <dc:creator>Kaynes Technology</dc:creator>
</cp:coreProperties>
</file>